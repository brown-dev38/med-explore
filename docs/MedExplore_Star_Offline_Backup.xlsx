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ู่มือ" sheetId="1" state="visible" r:id="rId1"/>
    <sheet xmlns:r="http://schemas.openxmlformats.org/officeDocument/2006/relationships" name="กิจกรรม" sheetId="2" state="visible" r:id="rId2"/>
    <sheet xmlns:r="http://schemas.openxmlformats.org/officeDocument/2006/relationships" name="Attendance_Log" sheetId="3" state="visible" r:id="rId3"/>
    <sheet xmlns:r="http://schemas.openxmlformats.org/officeDocument/2006/relationships" name="Green_Star_Requests" sheetId="4" state="visible" r:id="rId4"/>
    <sheet xmlns:r="http://schemas.openxmlformats.org/officeDocument/2006/relationships" name="Reward_Redemption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1" hidden="1">'กิจกรรม'!$A$1:$J$201</definedName>
    <definedName name="_xlnm._FilterDatabase" localSheetId="2" hidden="1">'Attendance_Log'!$A$1:$P$1001</definedName>
    <definedName name="_xlnm._FilterDatabase" localSheetId="3" hidden="1">'Green_Star_Requests'!$A$1:$M$501</definedName>
    <definedName name="_xlnm._FilterDatabase" localSheetId="4" hidden="1">'Reward_Redemptions'!$A$1:$M$501</definedName>
    <definedName name="_xlnm._FilterDatabase" localSheetId="5" hidden="1">'Summary'!$A$1:$H$503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dd/mm/yyyy hh:mm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i val="1"/>
      <color rgb="009C000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EF5FB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กรอก Activity_ID และรายละเอียดกิจกรรม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H1" authorId="0" shapeId="0">
      <text>
        <t>คำนวณจาก Check-out ลบ Check-in อัตโนมัติ (นาที) ต้องตรวจสอบข้อมูลเวลาให้ถูกต้อง</t>
      </text>
    </comment>
    <comment ref="L1" authorId="0" shapeId="0">
      <text>
        <t>ดาวที่เสนอจากเวลาเท่านั้น ยังต้องตรวจเพดาน 12 ดาว/ปีการศึกษา และตรวจรายการซ้ำก่อนอนุมัติ</t>
      </text>
    </comment>
    <comment ref="A2" authorId="0" shapeId="0">
      <text>
        <t>ข้อมูลตัวอย่างสมมติ ห้ามใช้เป็นข้อมูลนักศึกษาจริง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2" authorId="0" shapeId="0">
      <text>
        <t>บันทึกคำขอดาวเขียวเฉพาะงานช่วยเหลือที่มีหลักฐาน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2" authorId="0" shapeId="0">
      <text>
        <t>ตรวจยอดกับระบบหลักก่อนอนุมัติหรือส่งมอบ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G1" authorId="0" shapeId="0">
      <text>
        <t>คำนวณเพดานดาวเหลือง 12 ดวงจากข้อมูลในไฟล์เท่านั้น ต้องตรวจรายการในระบบหลักและรายการซ้ำก่อนอนุมัติ</t>
      </text>
    </comment>
    <comment ref="A2" authorId="0" shapeId="0">
      <text>
        <t>กรอกปีการศึกษา รหัสนักศึกษา และชื่อเพื่อสรุปยอดจากชีตอื่น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MedExplore Star — ไฟล์สำรองกรณีระบบออนไลน์ขัดข้อง</t>
        </is>
      </c>
    </row>
    <row r="2" ht="48" customHeight="1">
      <c r="A2" s="2" t="inlineStr">
        <is>
          <t>วัตถุประสงค์</t>
        </is>
      </c>
      <c r="B2" s="3" t="inlineStr">
        <is>
          <t>ใช้บันทึกการเข้าร่วมกิจกรรมและการอนุมัติดาวชั่วคราวเมื่อระบบออนไลน์ใช้งานไม่ได้ แล้วนำข้อมูลมาตรวจสอบก่อนนำเข้าระบบหลัก</t>
        </is>
      </c>
    </row>
    <row r="3" ht="48" customHeight="1">
      <c r="A3" s="2" t="inlineStr">
        <is>
          <t>ขั้นตอนก่อนใช้งาน</t>
        </is>
      </c>
      <c r="B3" s="3" t="inlineStr">
        <is>
          <t>1) ทำสำเนาไฟล์นี้แยกตามกิจกรรม/วัน  2) จำกัดผู้แก้ไขเฉพาะผู้จัดที่ได้รับมอบหมาย  3) ใช้รหัสนักศึกษาเป็นตัวระบุและตรวจสอบตัวตนตามแนวปฏิบัติของคณะ</t>
        </is>
      </c>
    </row>
    <row r="4" ht="48" customHeight="1">
      <c r="A4" s="2" t="inlineStr">
        <is>
          <t>ระหว่างระบบล่ม</t>
        </is>
      </c>
      <c r="B4" s="3" t="inlineStr">
        <is>
          <t>กรอกข้อมูลในชีต Attendance_Log ทีละรายการ ใช้เวลาจริงตามนาฬิกาที่เชื่อถือได้ และบันทึกชื่อผู้บันทึก/หมายเหตุเมื่อมีการแก้ไข</t>
        </is>
      </c>
    </row>
    <row r="5" ht="48" customHeight="1">
      <c r="A5" s="2" t="inlineStr">
        <is>
          <t>กติกาดาวเหลือง</t>
        </is>
      </c>
      <c r="B5" s="3" t="inlineStr">
        <is>
          <t>ตามข้อกำหนดโครงการ: Check-in และ Check-out ครบ และระยะเวลาเข้าร่วมอย่างน้อย 90 นาที จึงมีสิทธิ์ดาวเหลือง 1 ดวงต่อกิจกรรม ทั้งนี้ต้องผ่านการตรวจสอบ/อนุมัติ</t>
        </is>
      </c>
    </row>
    <row r="6" ht="48" customHeight="1">
      <c r="A6" s="2" t="inlineStr">
        <is>
          <t>เพดานดาวเหลือง</t>
        </is>
      </c>
      <c r="B6" s="3" t="inlineStr">
        <is>
          <t>สูงสุด 12 ดวงต่อคนต่อปีการศึกษา ระบบนี้แสดงจำนวนดาวที่คำนวณได้ แต่ผู้อนุมัติต้องตรวจยอดสะสมในระบบหลักหรือชีต Summary ก่อนอนุมัติ</t>
        </is>
      </c>
    </row>
    <row r="7" ht="48" customHeight="1">
      <c r="A7" s="2" t="inlineStr">
        <is>
          <t>ดาวเขียว</t>
        </is>
      </c>
      <c r="B7" s="3" t="inlineStr">
        <is>
          <t>กรอกใน Green_Star_Requests แยกต่างหาก ต้องมีหลักฐาน/ผู้รับรอง และต้องอนุมัติก่อนนับรวมกับดาวเหลือง</t>
        </is>
      </c>
    </row>
    <row r="8" ht="48" customHeight="1">
      <c r="A8" s="2" t="inlineStr">
        <is>
          <t>การแลกรางวัล</t>
        </is>
      </c>
      <c r="B8" s="3" t="inlineStr">
        <is>
          <t>ใช้ Reward_Redemptions บันทึกคำขอและสถานะเท่านั้น ตรวจยอดดาวคงเหลือและป้องกันการแลกซ้ำในระบบหลักก่อนยืนยันทุกครั้ง ห้ามถือว่ายอดในไฟล์นี้เป็นยอดหลักถ้ามีรายการในระบบออนไลน์ที่ยังไม่ซิงก์</t>
        </is>
      </c>
    </row>
    <row r="9" ht="48" customHeight="1">
      <c r="A9" s="2" t="inlineStr">
        <is>
          <t>เมื่อระบบกลับมา</t>
        </is>
      </c>
      <c r="B9" s="3" t="inlineStr">
        <is>
          <t>1) หยุดกรอกไฟล์สำรอง 2) ส่งให้ผู้ดูแลระบบ 3) ตรวจซ้ำกับฐานข้อมูลหลัก 4) นำเข้ารายการที่ยังไม่มี 5) ตรวจยอด/รายการซ้ำ 6) ให้ผู้อนุมัติยืนยันผลการกระทบยอด</t>
        </is>
      </c>
    </row>
    <row r="10" ht="48" customHeight="1">
      <c r="A10" s="2" t="inlineStr">
        <is>
          <t>ข้อควรระวัง</t>
        </is>
      </c>
      <c r="B10" s="3" t="inlineStr">
        <is>
          <t>ไฟล์นี้เป็นเครื่องมือสำรอง ไม่ใช่ฐานข้อมูลหลักและไม่สามารถล็อกการแก้ไขพร้อมกันได้อย่างปลอดภัย หลีกเลี่ยงการแก้พร้อมกันหลายคน ใช้ไฟล์แยก/ผู้บันทึกคนเดียว และเก็บไฟล์ในพื้นที่ที่มีสิทธิ์เข้าถึงจำกัด</t>
        </is>
      </c>
    </row>
    <row r="11" ht="48" customHeight="1">
      <c r="A11" s="2" t="inlineStr">
        <is>
          <t>ข้อมูลส่วนบุคคล</t>
        </is>
      </c>
      <c r="B11" s="3" t="inlineStr">
        <is>
          <t>เก็บเฉพาะข้อมูลที่จำเป็น ปฏิบัติตามนโยบายคุ้มครองข้อมูลของสถาบัน ห้ามส่งไฟล์ผ่านช่องทางสาธารณะหรือเปิดสิทธิ์ลิงก์ให้บุคคลทั่วไป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24" customWidth="1" min="7" max="7"/>
    <col width="26" customWidth="1" min="8" max="8"/>
    <col width="18" customWidth="1" min="9" max="9"/>
    <col width="36" customWidth="1" min="10" max="10"/>
  </cols>
  <sheetData>
    <row r="1" ht="32" customHeight="1">
      <c r="A1" s="4" t="inlineStr">
        <is>
          <t>Activity_ID</t>
        </is>
      </c>
      <c r="B1" s="4" t="inlineStr">
        <is>
          <t>ปีการศึกษา</t>
        </is>
      </c>
      <c r="C1" s="4" t="inlineStr">
        <is>
          <t>ชื่อกิจกรรม</t>
        </is>
      </c>
      <c r="D1" s="4" t="inlineStr">
        <is>
          <t>วันที่</t>
        </is>
      </c>
      <c r="E1" s="4" t="inlineStr">
        <is>
          <t>เวลาเริ่ม</t>
        </is>
      </c>
      <c r="F1" s="4" t="inlineStr">
        <is>
          <t>เวลาสิ้นสุด</t>
        </is>
      </c>
      <c r="G1" s="4" t="inlineStr">
        <is>
          <t>สถานที่</t>
        </is>
      </c>
      <c r="H1" s="4" t="inlineStr">
        <is>
          <t>ผู้จัด/ผู้รับผิดชอบ</t>
        </is>
      </c>
      <c r="I1" s="4" t="inlineStr">
        <is>
          <t>สถานะระบบ</t>
        </is>
      </c>
      <c r="J1" s="4" t="inlineStr">
        <is>
          <t>หมายเหตุ</t>
        </is>
      </c>
    </row>
    <row r="2">
      <c r="A2" t="inlineStr">
        <is>
          <t>ACT-2026-001</t>
        </is>
      </c>
      <c r="B2" t="inlineStr">
        <is>
          <t>2569</t>
        </is>
      </c>
      <c r="C2" t="inlineStr">
        <is>
          <t>ปฐมนิเทศนักศึกษาแพทย์</t>
        </is>
      </c>
      <c r="D2" s="5" t="n">
        <v>46308</v>
      </c>
      <c r="E2" s="6" t="n">
        <v>0.5625</v>
      </c>
      <c r="F2" s="6" t="n">
        <v>0.6458333333333334</v>
      </c>
      <c r="G2" t="inlineStr">
        <is>
          <t>ห้องประชุมคณะแพทยศาสตร์</t>
        </is>
      </c>
      <c r="H2" t="inlineStr">
        <is>
          <t>เจ้าหน้าที่กิจการนักศึกษา</t>
        </is>
      </c>
      <c r="I2" t="inlineStr">
        <is>
          <t>ปิดกิจกรรม</t>
        </is>
      </c>
      <c r="J2" t="inlineStr">
        <is>
          <t>ข้อมูลตัวอย่างสมมติ</t>
        </is>
      </c>
    </row>
    <row r="3">
      <c r="D3" s="5" t="n"/>
      <c r="E3" s="6" t="n"/>
      <c r="F3" s="6" t="n"/>
    </row>
    <row r="4">
      <c r="D4" s="5" t="n"/>
      <c r="E4" s="6" t="n"/>
      <c r="F4" s="6" t="n"/>
    </row>
    <row r="5">
      <c r="D5" s="5" t="n"/>
      <c r="E5" s="6" t="n"/>
      <c r="F5" s="6" t="n"/>
    </row>
    <row r="6">
      <c r="D6" s="5" t="n"/>
      <c r="E6" s="6" t="n"/>
      <c r="F6" s="6" t="n"/>
    </row>
    <row r="7">
      <c r="D7" s="5" t="n"/>
      <c r="E7" s="6" t="n"/>
      <c r="F7" s="6" t="n"/>
    </row>
    <row r="8">
      <c r="D8" s="5" t="n"/>
      <c r="E8" s="6" t="n"/>
      <c r="F8" s="6" t="n"/>
    </row>
    <row r="9">
      <c r="D9" s="5" t="n"/>
      <c r="E9" s="6" t="n"/>
      <c r="F9" s="6" t="n"/>
    </row>
    <row r="10">
      <c r="D10" s="5" t="n"/>
      <c r="E10" s="6" t="n"/>
      <c r="F10" s="6" t="n"/>
    </row>
    <row r="11">
      <c r="D11" s="5" t="n"/>
      <c r="E11" s="6" t="n"/>
      <c r="F11" s="6" t="n"/>
    </row>
    <row r="12">
      <c r="D12" s="5" t="n"/>
      <c r="E12" s="6" t="n"/>
      <c r="F12" s="6" t="n"/>
    </row>
    <row r="13">
      <c r="D13" s="5" t="n"/>
      <c r="E13" s="6" t="n"/>
      <c r="F13" s="6" t="n"/>
    </row>
    <row r="14">
      <c r="D14" s="5" t="n"/>
      <c r="E14" s="6" t="n"/>
      <c r="F14" s="6" t="n"/>
    </row>
    <row r="15">
      <c r="D15" s="5" t="n"/>
      <c r="E15" s="6" t="n"/>
      <c r="F15" s="6" t="n"/>
    </row>
    <row r="16">
      <c r="D16" s="5" t="n"/>
      <c r="E16" s="6" t="n"/>
      <c r="F16" s="6" t="n"/>
    </row>
    <row r="17">
      <c r="D17" s="5" t="n"/>
      <c r="E17" s="6" t="n"/>
      <c r="F17" s="6" t="n"/>
    </row>
    <row r="18">
      <c r="D18" s="5" t="n"/>
      <c r="E18" s="6" t="n"/>
      <c r="F18" s="6" t="n"/>
    </row>
    <row r="19">
      <c r="D19" s="5" t="n"/>
      <c r="E19" s="6" t="n"/>
      <c r="F19" s="6" t="n"/>
    </row>
    <row r="20">
      <c r="D20" s="5" t="n"/>
      <c r="E20" s="6" t="n"/>
      <c r="F20" s="6" t="n"/>
    </row>
    <row r="21">
      <c r="D21" s="5" t="n"/>
      <c r="E21" s="6" t="n"/>
      <c r="F21" s="6" t="n"/>
    </row>
    <row r="22">
      <c r="D22" s="5" t="n"/>
      <c r="E22" s="6" t="n"/>
      <c r="F22" s="6" t="n"/>
    </row>
    <row r="23">
      <c r="D23" s="5" t="n"/>
      <c r="E23" s="6" t="n"/>
      <c r="F23" s="6" t="n"/>
    </row>
    <row r="24">
      <c r="D24" s="5" t="n"/>
      <c r="E24" s="6" t="n"/>
      <c r="F24" s="6" t="n"/>
    </row>
    <row r="25">
      <c r="D25" s="5" t="n"/>
      <c r="E25" s="6" t="n"/>
      <c r="F25" s="6" t="n"/>
    </row>
    <row r="26">
      <c r="D26" s="5" t="n"/>
      <c r="E26" s="6" t="n"/>
      <c r="F26" s="6" t="n"/>
    </row>
    <row r="27">
      <c r="D27" s="5" t="n"/>
      <c r="E27" s="6" t="n"/>
      <c r="F27" s="6" t="n"/>
    </row>
    <row r="28">
      <c r="D28" s="5" t="n"/>
      <c r="E28" s="6" t="n"/>
      <c r="F28" s="6" t="n"/>
    </row>
    <row r="29">
      <c r="D29" s="5" t="n"/>
      <c r="E29" s="6" t="n"/>
      <c r="F29" s="6" t="n"/>
    </row>
    <row r="30">
      <c r="D30" s="5" t="n"/>
      <c r="E30" s="6" t="n"/>
      <c r="F30" s="6" t="n"/>
    </row>
    <row r="31">
      <c r="D31" s="5" t="n"/>
      <c r="E31" s="6" t="n"/>
      <c r="F31" s="6" t="n"/>
    </row>
    <row r="32">
      <c r="D32" s="5" t="n"/>
      <c r="E32" s="6" t="n"/>
      <c r="F32" s="6" t="n"/>
    </row>
    <row r="33">
      <c r="D33" s="5" t="n"/>
      <c r="E33" s="6" t="n"/>
      <c r="F33" s="6" t="n"/>
    </row>
    <row r="34">
      <c r="D34" s="5" t="n"/>
      <c r="E34" s="6" t="n"/>
      <c r="F34" s="6" t="n"/>
    </row>
    <row r="35">
      <c r="D35" s="5" t="n"/>
      <c r="E35" s="6" t="n"/>
      <c r="F35" s="6" t="n"/>
    </row>
    <row r="36">
      <c r="D36" s="5" t="n"/>
      <c r="E36" s="6" t="n"/>
      <c r="F36" s="6" t="n"/>
    </row>
    <row r="37">
      <c r="D37" s="5" t="n"/>
      <c r="E37" s="6" t="n"/>
      <c r="F37" s="6" t="n"/>
    </row>
    <row r="38">
      <c r="D38" s="5" t="n"/>
      <c r="E38" s="6" t="n"/>
      <c r="F38" s="6" t="n"/>
    </row>
    <row r="39">
      <c r="D39" s="5" t="n"/>
      <c r="E39" s="6" t="n"/>
      <c r="F39" s="6" t="n"/>
    </row>
    <row r="40">
      <c r="D40" s="5" t="n"/>
      <c r="E40" s="6" t="n"/>
      <c r="F40" s="6" t="n"/>
    </row>
    <row r="41">
      <c r="D41" s="5" t="n"/>
      <c r="E41" s="6" t="n"/>
      <c r="F41" s="6" t="n"/>
    </row>
    <row r="42">
      <c r="D42" s="5" t="n"/>
      <c r="E42" s="6" t="n"/>
      <c r="F42" s="6" t="n"/>
    </row>
    <row r="43">
      <c r="D43" s="5" t="n"/>
      <c r="E43" s="6" t="n"/>
      <c r="F43" s="6" t="n"/>
    </row>
    <row r="44">
      <c r="D44" s="5" t="n"/>
      <c r="E44" s="6" t="n"/>
      <c r="F44" s="6" t="n"/>
    </row>
    <row r="45">
      <c r="D45" s="5" t="n"/>
      <c r="E45" s="6" t="n"/>
      <c r="F45" s="6" t="n"/>
    </row>
    <row r="46">
      <c r="D46" s="5" t="n"/>
      <c r="E46" s="6" t="n"/>
      <c r="F46" s="6" t="n"/>
    </row>
    <row r="47">
      <c r="D47" s="5" t="n"/>
      <c r="E47" s="6" t="n"/>
      <c r="F47" s="6" t="n"/>
    </row>
    <row r="48">
      <c r="D48" s="5" t="n"/>
      <c r="E48" s="6" t="n"/>
      <c r="F48" s="6" t="n"/>
    </row>
    <row r="49">
      <c r="D49" s="5" t="n"/>
      <c r="E49" s="6" t="n"/>
      <c r="F49" s="6" t="n"/>
    </row>
    <row r="50">
      <c r="D50" s="5" t="n"/>
      <c r="E50" s="6" t="n"/>
      <c r="F50" s="6" t="n"/>
    </row>
    <row r="51">
      <c r="D51" s="5" t="n"/>
      <c r="E51" s="6" t="n"/>
      <c r="F51" s="6" t="n"/>
    </row>
    <row r="52">
      <c r="D52" s="5" t="n"/>
      <c r="E52" s="6" t="n"/>
      <c r="F52" s="6" t="n"/>
    </row>
    <row r="53">
      <c r="D53" s="5" t="n"/>
      <c r="E53" s="6" t="n"/>
      <c r="F53" s="6" t="n"/>
    </row>
    <row r="54">
      <c r="D54" s="5" t="n"/>
      <c r="E54" s="6" t="n"/>
      <c r="F54" s="6" t="n"/>
    </row>
    <row r="55">
      <c r="D55" s="5" t="n"/>
      <c r="E55" s="6" t="n"/>
      <c r="F55" s="6" t="n"/>
    </row>
    <row r="56">
      <c r="D56" s="5" t="n"/>
      <c r="E56" s="6" t="n"/>
      <c r="F56" s="6" t="n"/>
    </row>
    <row r="57">
      <c r="D57" s="5" t="n"/>
      <c r="E57" s="6" t="n"/>
      <c r="F57" s="6" t="n"/>
    </row>
    <row r="58">
      <c r="D58" s="5" t="n"/>
      <c r="E58" s="6" t="n"/>
      <c r="F58" s="6" t="n"/>
    </row>
    <row r="59">
      <c r="D59" s="5" t="n"/>
      <c r="E59" s="6" t="n"/>
      <c r="F59" s="6" t="n"/>
    </row>
    <row r="60">
      <c r="D60" s="5" t="n"/>
      <c r="E60" s="6" t="n"/>
      <c r="F60" s="6" t="n"/>
    </row>
    <row r="61">
      <c r="D61" s="5" t="n"/>
      <c r="E61" s="6" t="n"/>
      <c r="F61" s="6" t="n"/>
    </row>
    <row r="62">
      <c r="D62" s="5" t="n"/>
      <c r="E62" s="6" t="n"/>
      <c r="F62" s="6" t="n"/>
    </row>
    <row r="63">
      <c r="D63" s="5" t="n"/>
      <c r="E63" s="6" t="n"/>
      <c r="F63" s="6" t="n"/>
    </row>
    <row r="64">
      <c r="D64" s="5" t="n"/>
      <c r="E64" s="6" t="n"/>
      <c r="F64" s="6" t="n"/>
    </row>
    <row r="65">
      <c r="D65" s="5" t="n"/>
      <c r="E65" s="6" t="n"/>
      <c r="F65" s="6" t="n"/>
    </row>
    <row r="66">
      <c r="D66" s="5" t="n"/>
      <c r="E66" s="6" t="n"/>
      <c r="F66" s="6" t="n"/>
    </row>
    <row r="67">
      <c r="D67" s="5" t="n"/>
      <c r="E67" s="6" t="n"/>
      <c r="F67" s="6" t="n"/>
    </row>
    <row r="68">
      <c r="D68" s="5" t="n"/>
      <c r="E68" s="6" t="n"/>
      <c r="F68" s="6" t="n"/>
    </row>
    <row r="69">
      <c r="D69" s="5" t="n"/>
      <c r="E69" s="6" t="n"/>
      <c r="F69" s="6" t="n"/>
    </row>
    <row r="70">
      <c r="D70" s="5" t="n"/>
      <c r="E70" s="6" t="n"/>
      <c r="F70" s="6" t="n"/>
    </row>
    <row r="71">
      <c r="D71" s="5" t="n"/>
      <c r="E71" s="6" t="n"/>
      <c r="F71" s="6" t="n"/>
    </row>
    <row r="72">
      <c r="D72" s="5" t="n"/>
      <c r="E72" s="6" t="n"/>
      <c r="F72" s="6" t="n"/>
    </row>
    <row r="73">
      <c r="D73" s="5" t="n"/>
      <c r="E73" s="6" t="n"/>
      <c r="F73" s="6" t="n"/>
    </row>
    <row r="74">
      <c r="D74" s="5" t="n"/>
      <c r="E74" s="6" t="n"/>
      <c r="F74" s="6" t="n"/>
    </row>
    <row r="75">
      <c r="D75" s="5" t="n"/>
      <c r="E75" s="6" t="n"/>
      <c r="F75" s="6" t="n"/>
    </row>
    <row r="76">
      <c r="D76" s="5" t="n"/>
      <c r="E76" s="6" t="n"/>
      <c r="F76" s="6" t="n"/>
    </row>
    <row r="77">
      <c r="D77" s="5" t="n"/>
      <c r="E77" s="6" t="n"/>
      <c r="F77" s="6" t="n"/>
    </row>
    <row r="78">
      <c r="D78" s="5" t="n"/>
      <c r="E78" s="6" t="n"/>
      <c r="F78" s="6" t="n"/>
    </row>
    <row r="79">
      <c r="D79" s="5" t="n"/>
      <c r="E79" s="6" t="n"/>
      <c r="F79" s="6" t="n"/>
    </row>
    <row r="80">
      <c r="D80" s="5" t="n"/>
      <c r="E80" s="6" t="n"/>
      <c r="F80" s="6" t="n"/>
    </row>
    <row r="81">
      <c r="D81" s="5" t="n"/>
      <c r="E81" s="6" t="n"/>
      <c r="F81" s="6" t="n"/>
    </row>
    <row r="82">
      <c r="D82" s="5" t="n"/>
      <c r="E82" s="6" t="n"/>
      <c r="F82" s="6" t="n"/>
    </row>
    <row r="83">
      <c r="D83" s="5" t="n"/>
      <c r="E83" s="6" t="n"/>
      <c r="F83" s="6" t="n"/>
    </row>
    <row r="84">
      <c r="D84" s="5" t="n"/>
      <c r="E84" s="6" t="n"/>
      <c r="F84" s="6" t="n"/>
    </row>
    <row r="85">
      <c r="D85" s="5" t="n"/>
      <c r="E85" s="6" t="n"/>
      <c r="F85" s="6" t="n"/>
    </row>
    <row r="86">
      <c r="D86" s="5" t="n"/>
      <c r="E86" s="6" t="n"/>
      <c r="F86" s="6" t="n"/>
    </row>
    <row r="87">
      <c r="D87" s="5" t="n"/>
      <c r="E87" s="6" t="n"/>
      <c r="F87" s="6" t="n"/>
    </row>
    <row r="88">
      <c r="D88" s="5" t="n"/>
      <c r="E88" s="6" t="n"/>
      <c r="F88" s="6" t="n"/>
    </row>
    <row r="89">
      <c r="D89" s="5" t="n"/>
      <c r="E89" s="6" t="n"/>
      <c r="F89" s="6" t="n"/>
    </row>
    <row r="90">
      <c r="D90" s="5" t="n"/>
      <c r="E90" s="6" t="n"/>
      <c r="F90" s="6" t="n"/>
    </row>
    <row r="91">
      <c r="D91" s="5" t="n"/>
      <c r="E91" s="6" t="n"/>
      <c r="F91" s="6" t="n"/>
    </row>
    <row r="92">
      <c r="D92" s="5" t="n"/>
      <c r="E92" s="6" t="n"/>
      <c r="F92" s="6" t="n"/>
    </row>
    <row r="93">
      <c r="D93" s="5" t="n"/>
      <c r="E93" s="6" t="n"/>
      <c r="F93" s="6" t="n"/>
    </row>
    <row r="94">
      <c r="D94" s="5" t="n"/>
      <c r="E94" s="6" t="n"/>
      <c r="F94" s="6" t="n"/>
    </row>
    <row r="95">
      <c r="D95" s="5" t="n"/>
      <c r="E95" s="6" t="n"/>
      <c r="F95" s="6" t="n"/>
    </row>
    <row r="96">
      <c r="D96" s="5" t="n"/>
      <c r="E96" s="6" t="n"/>
      <c r="F96" s="6" t="n"/>
    </row>
    <row r="97">
      <c r="D97" s="5" t="n"/>
      <c r="E97" s="6" t="n"/>
      <c r="F97" s="6" t="n"/>
    </row>
    <row r="98">
      <c r="D98" s="5" t="n"/>
      <c r="E98" s="6" t="n"/>
      <c r="F98" s="6" t="n"/>
    </row>
    <row r="99">
      <c r="D99" s="5" t="n"/>
      <c r="E99" s="6" t="n"/>
      <c r="F99" s="6" t="n"/>
    </row>
    <row r="100">
      <c r="D100" s="5" t="n"/>
      <c r="E100" s="6" t="n"/>
      <c r="F100" s="6" t="n"/>
    </row>
    <row r="101">
      <c r="D101" s="5" t="n"/>
      <c r="E101" s="6" t="n"/>
      <c r="F101" s="6" t="n"/>
    </row>
    <row r="102">
      <c r="D102" s="5" t="n"/>
      <c r="E102" s="6" t="n"/>
      <c r="F102" s="6" t="n"/>
    </row>
    <row r="103">
      <c r="D103" s="5" t="n"/>
      <c r="E103" s="6" t="n"/>
      <c r="F103" s="6" t="n"/>
    </row>
    <row r="104">
      <c r="D104" s="5" t="n"/>
      <c r="E104" s="6" t="n"/>
      <c r="F104" s="6" t="n"/>
    </row>
    <row r="105">
      <c r="D105" s="5" t="n"/>
      <c r="E105" s="6" t="n"/>
      <c r="F105" s="6" t="n"/>
    </row>
    <row r="106">
      <c r="D106" s="5" t="n"/>
      <c r="E106" s="6" t="n"/>
      <c r="F106" s="6" t="n"/>
    </row>
    <row r="107">
      <c r="D107" s="5" t="n"/>
      <c r="E107" s="6" t="n"/>
      <c r="F107" s="6" t="n"/>
    </row>
    <row r="108">
      <c r="D108" s="5" t="n"/>
      <c r="E108" s="6" t="n"/>
      <c r="F108" s="6" t="n"/>
    </row>
    <row r="109">
      <c r="D109" s="5" t="n"/>
      <c r="E109" s="6" t="n"/>
      <c r="F109" s="6" t="n"/>
    </row>
    <row r="110">
      <c r="D110" s="5" t="n"/>
      <c r="E110" s="6" t="n"/>
      <c r="F110" s="6" t="n"/>
    </row>
    <row r="111">
      <c r="D111" s="5" t="n"/>
      <c r="E111" s="6" t="n"/>
      <c r="F111" s="6" t="n"/>
    </row>
    <row r="112">
      <c r="D112" s="5" t="n"/>
      <c r="E112" s="6" t="n"/>
      <c r="F112" s="6" t="n"/>
    </row>
    <row r="113">
      <c r="D113" s="5" t="n"/>
      <c r="E113" s="6" t="n"/>
      <c r="F113" s="6" t="n"/>
    </row>
    <row r="114">
      <c r="D114" s="5" t="n"/>
      <c r="E114" s="6" t="n"/>
      <c r="F114" s="6" t="n"/>
    </row>
    <row r="115">
      <c r="D115" s="5" t="n"/>
      <c r="E115" s="6" t="n"/>
      <c r="F115" s="6" t="n"/>
    </row>
    <row r="116">
      <c r="D116" s="5" t="n"/>
      <c r="E116" s="6" t="n"/>
      <c r="F116" s="6" t="n"/>
    </row>
    <row r="117">
      <c r="D117" s="5" t="n"/>
      <c r="E117" s="6" t="n"/>
      <c r="F117" s="6" t="n"/>
    </row>
    <row r="118">
      <c r="D118" s="5" t="n"/>
      <c r="E118" s="6" t="n"/>
      <c r="F118" s="6" t="n"/>
    </row>
    <row r="119">
      <c r="D119" s="5" t="n"/>
      <c r="E119" s="6" t="n"/>
      <c r="F119" s="6" t="n"/>
    </row>
    <row r="120">
      <c r="D120" s="5" t="n"/>
      <c r="E120" s="6" t="n"/>
      <c r="F120" s="6" t="n"/>
    </row>
    <row r="121">
      <c r="D121" s="5" t="n"/>
      <c r="E121" s="6" t="n"/>
      <c r="F121" s="6" t="n"/>
    </row>
    <row r="122">
      <c r="D122" s="5" t="n"/>
      <c r="E122" s="6" t="n"/>
      <c r="F122" s="6" t="n"/>
    </row>
    <row r="123">
      <c r="D123" s="5" t="n"/>
      <c r="E123" s="6" t="n"/>
      <c r="F123" s="6" t="n"/>
    </row>
    <row r="124">
      <c r="D124" s="5" t="n"/>
      <c r="E124" s="6" t="n"/>
      <c r="F124" s="6" t="n"/>
    </row>
    <row r="125">
      <c r="D125" s="5" t="n"/>
      <c r="E125" s="6" t="n"/>
      <c r="F125" s="6" t="n"/>
    </row>
    <row r="126">
      <c r="D126" s="5" t="n"/>
      <c r="E126" s="6" t="n"/>
      <c r="F126" s="6" t="n"/>
    </row>
    <row r="127">
      <c r="D127" s="5" t="n"/>
      <c r="E127" s="6" t="n"/>
      <c r="F127" s="6" t="n"/>
    </row>
    <row r="128">
      <c r="D128" s="5" t="n"/>
      <c r="E128" s="6" t="n"/>
      <c r="F128" s="6" t="n"/>
    </row>
    <row r="129">
      <c r="D129" s="5" t="n"/>
      <c r="E129" s="6" t="n"/>
      <c r="F129" s="6" t="n"/>
    </row>
    <row r="130">
      <c r="D130" s="5" t="n"/>
      <c r="E130" s="6" t="n"/>
      <c r="F130" s="6" t="n"/>
    </row>
    <row r="131">
      <c r="D131" s="5" t="n"/>
      <c r="E131" s="6" t="n"/>
      <c r="F131" s="6" t="n"/>
    </row>
    <row r="132">
      <c r="D132" s="5" t="n"/>
      <c r="E132" s="6" t="n"/>
      <c r="F132" s="6" t="n"/>
    </row>
    <row r="133">
      <c r="D133" s="5" t="n"/>
      <c r="E133" s="6" t="n"/>
      <c r="F133" s="6" t="n"/>
    </row>
    <row r="134">
      <c r="D134" s="5" t="n"/>
      <c r="E134" s="6" t="n"/>
      <c r="F134" s="6" t="n"/>
    </row>
    <row r="135">
      <c r="D135" s="5" t="n"/>
      <c r="E135" s="6" t="n"/>
      <c r="F135" s="6" t="n"/>
    </row>
    <row r="136">
      <c r="D136" s="5" t="n"/>
      <c r="E136" s="6" t="n"/>
      <c r="F136" s="6" t="n"/>
    </row>
    <row r="137">
      <c r="D137" s="5" t="n"/>
      <c r="E137" s="6" t="n"/>
      <c r="F137" s="6" t="n"/>
    </row>
    <row r="138">
      <c r="D138" s="5" t="n"/>
      <c r="E138" s="6" t="n"/>
      <c r="F138" s="6" t="n"/>
    </row>
    <row r="139">
      <c r="D139" s="5" t="n"/>
      <c r="E139" s="6" t="n"/>
      <c r="F139" s="6" t="n"/>
    </row>
    <row r="140">
      <c r="D140" s="5" t="n"/>
      <c r="E140" s="6" t="n"/>
      <c r="F140" s="6" t="n"/>
    </row>
    <row r="141">
      <c r="D141" s="5" t="n"/>
      <c r="E141" s="6" t="n"/>
      <c r="F141" s="6" t="n"/>
    </row>
    <row r="142">
      <c r="D142" s="5" t="n"/>
      <c r="E142" s="6" t="n"/>
      <c r="F142" s="6" t="n"/>
    </row>
    <row r="143">
      <c r="D143" s="5" t="n"/>
      <c r="E143" s="6" t="n"/>
      <c r="F143" s="6" t="n"/>
    </row>
    <row r="144">
      <c r="D144" s="5" t="n"/>
      <c r="E144" s="6" t="n"/>
      <c r="F144" s="6" t="n"/>
    </row>
    <row r="145">
      <c r="D145" s="5" t="n"/>
      <c r="E145" s="6" t="n"/>
      <c r="F145" s="6" t="n"/>
    </row>
    <row r="146">
      <c r="D146" s="5" t="n"/>
      <c r="E146" s="6" t="n"/>
      <c r="F146" s="6" t="n"/>
    </row>
    <row r="147">
      <c r="D147" s="5" t="n"/>
      <c r="E147" s="6" t="n"/>
      <c r="F147" s="6" t="n"/>
    </row>
    <row r="148">
      <c r="D148" s="5" t="n"/>
      <c r="E148" s="6" t="n"/>
      <c r="F148" s="6" t="n"/>
    </row>
    <row r="149">
      <c r="D149" s="5" t="n"/>
      <c r="E149" s="6" t="n"/>
      <c r="F149" s="6" t="n"/>
    </row>
    <row r="150">
      <c r="D150" s="5" t="n"/>
      <c r="E150" s="6" t="n"/>
      <c r="F150" s="6" t="n"/>
    </row>
    <row r="151">
      <c r="D151" s="5" t="n"/>
      <c r="E151" s="6" t="n"/>
      <c r="F151" s="6" t="n"/>
    </row>
    <row r="152">
      <c r="D152" s="5" t="n"/>
      <c r="E152" s="6" t="n"/>
      <c r="F152" s="6" t="n"/>
    </row>
    <row r="153">
      <c r="D153" s="5" t="n"/>
      <c r="E153" s="6" t="n"/>
      <c r="F153" s="6" t="n"/>
    </row>
    <row r="154">
      <c r="D154" s="5" t="n"/>
      <c r="E154" s="6" t="n"/>
      <c r="F154" s="6" t="n"/>
    </row>
    <row r="155">
      <c r="D155" s="5" t="n"/>
      <c r="E155" s="6" t="n"/>
      <c r="F155" s="6" t="n"/>
    </row>
    <row r="156">
      <c r="D156" s="5" t="n"/>
      <c r="E156" s="6" t="n"/>
      <c r="F156" s="6" t="n"/>
    </row>
    <row r="157">
      <c r="D157" s="5" t="n"/>
      <c r="E157" s="6" t="n"/>
      <c r="F157" s="6" t="n"/>
    </row>
    <row r="158">
      <c r="D158" s="5" t="n"/>
      <c r="E158" s="6" t="n"/>
      <c r="F158" s="6" t="n"/>
    </row>
    <row r="159">
      <c r="D159" s="5" t="n"/>
      <c r="E159" s="6" t="n"/>
      <c r="F159" s="6" t="n"/>
    </row>
    <row r="160">
      <c r="D160" s="5" t="n"/>
      <c r="E160" s="6" t="n"/>
      <c r="F160" s="6" t="n"/>
    </row>
    <row r="161">
      <c r="D161" s="5" t="n"/>
      <c r="E161" s="6" t="n"/>
      <c r="F161" s="6" t="n"/>
    </row>
    <row r="162">
      <c r="D162" s="5" t="n"/>
      <c r="E162" s="6" t="n"/>
      <c r="F162" s="6" t="n"/>
    </row>
    <row r="163">
      <c r="D163" s="5" t="n"/>
      <c r="E163" s="6" t="n"/>
      <c r="F163" s="6" t="n"/>
    </row>
    <row r="164">
      <c r="D164" s="5" t="n"/>
      <c r="E164" s="6" t="n"/>
      <c r="F164" s="6" t="n"/>
    </row>
    <row r="165">
      <c r="D165" s="5" t="n"/>
      <c r="E165" s="6" t="n"/>
      <c r="F165" s="6" t="n"/>
    </row>
    <row r="166">
      <c r="D166" s="5" t="n"/>
      <c r="E166" s="6" t="n"/>
      <c r="F166" s="6" t="n"/>
    </row>
    <row r="167">
      <c r="D167" s="5" t="n"/>
      <c r="E167" s="6" t="n"/>
      <c r="F167" s="6" t="n"/>
    </row>
    <row r="168">
      <c r="D168" s="5" t="n"/>
      <c r="E168" s="6" t="n"/>
      <c r="F168" s="6" t="n"/>
    </row>
    <row r="169">
      <c r="D169" s="5" t="n"/>
      <c r="E169" s="6" t="n"/>
      <c r="F169" s="6" t="n"/>
    </row>
    <row r="170">
      <c r="D170" s="5" t="n"/>
      <c r="E170" s="6" t="n"/>
      <c r="F170" s="6" t="n"/>
    </row>
    <row r="171">
      <c r="D171" s="5" t="n"/>
      <c r="E171" s="6" t="n"/>
      <c r="F171" s="6" t="n"/>
    </row>
    <row r="172">
      <c r="D172" s="5" t="n"/>
      <c r="E172" s="6" t="n"/>
      <c r="F172" s="6" t="n"/>
    </row>
    <row r="173">
      <c r="D173" s="5" t="n"/>
      <c r="E173" s="6" t="n"/>
      <c r="F173" s="6" t="n"/>
    </row>
    <row r="174">
      <c r="D174" s="5" t="n"/>
      <c r="E174" s="6" t="n"/>
      <c r="F174" s="6" t="n"/>
    </row>
    <row r="175">
      <c r="D175" s="5" t="n"/>
      <c r="E175" s="6" t="n"/>
      <c r="F175" s="6" t="n"/>
    </row>
    <row r="176">
      <c r="D176" s="5" t="n"/>
      <c r="E176" s="6" t="n"/>
      <c r="F176" s="6" t="n"/>
    </row>
    <row r="177">
      <c r="D177" s="5" t="n"/>
      <c r="E177" s="6" t="n"/>
      <c r="F177" s="6" t="n"/>
    </row>
    <row r="178">
      <c r="D178" s="5" t="n"/>
      <c r="E178" s="6" t="n"/>
      <c r="F178" s="6" t="n"/>
    </row>
    <row r="179">
      <c r="D179" s="5" t="n"/>
      <c r="E179" s="6" t="n"/>
      <c r="F179" s="6" t="n"/>
    </row>
    <row r="180">
      <c r="D180" s="5" t="n"/>
      <c r="E180" s="6" t="n"/>
      <c r="F180" s="6" t="n"/>
    </row>
    <row r="181">
      <c r="D181" s="5" t="n"/>
      <c r="E181" s="6" t="n"/>
      <c r="F181" s="6" t="n"/>
    </row>
    <row r="182">
      <c r="D182" s="5" t="n"/>
      <c r="E182" s="6" t="n"/>
      <c r="F182" s="6" t="n"/>
    </row>
    <row r="183">
      <c r="D183" s="5" t="n"/>
      <c r="E183" s="6" t="n"/>
      <c r="F183" s="6" t="n"/>
    </row>
    <row r="184">
      <c r="D184" s="5" t="n"/>
      <c r="E184" s="6" t="n"/>
      <c r="F184" s="6" t="n"/>
    </row>
    <row r="185">
      <c r="D185" s="5" t="n"/>
      <c r="E185" s="6" t="n"/>
      <c r="F185" s="6" t="n"/>
    </row>
    <row r="186">
      <c r="D186" s="5" t="n"/>
      <c r="E186" s="6" t="n"/>
      <c r="F186" s="6" t="n"/>
    </row>
    <row r="187">
      <c r="D187" s="5" t="n"/>
      <c r="E187" s="6" t="n"/>
      <c r="F187" s="6" t="n"/>
    </row>
    <row r="188">
      <c r="D188" s="5" t="n"/>
      <c r="E188" s="6" t="n"/>
      <c r="F188" s="6" t="n"/>
    </row>
    <row r="189">
      <c r="D189" s="5" t="n"/>
      <c r="E189" s="6" t="n"/>
      <c r="F189" s="6" t="n"/>
    </row>
    <row r="190">
      <c r="D190" s="5" t="n"/>
      <c r="E190" s="6" t="n"/>
      <c r="F190" s="6" t="n"/>
    </row>
    <row r="191">
      <c r="D191" s="5" t="n"/>
      <c r="E191" s="6" t="n"/>
      <c r="F191" s="6" t="n"/>
    </row>
    <row r="192">
      <c r="D192" s="5" t="n"/>
      <c r="E192" s="6" t="n"/>
      <c r="F192" s="6" t="n"/>
    </row>
    <row r="193">
      <c r="D193" s="5" t="n"/>
      <c r="E193" s="6" t="n"/>
      <c r="F193" s="6" t="n"/>
    </row>
    <row r="194">
      <c r="D194" s="5" t="n"/>
      <c r="E194" s="6" t="n"/>
      <c r="F194" s="6" t="n"/>
    </row>
    <row r="195">
      <c r="D195" s="5" t="n"/>
      <c r="E195" s="6" t="n"/>
      <c r="F195" s="6" t="n"/>
    </row>
    <row r="196">
      <c r="D196" s="5" t="n"/>
      <c r="E196" s="6" t="n"/>
      <c r="F196" s="6" t="n"/>
    </row>
    <row r="197">
      <c r="D197" s="5" t="n"/>
      <c r="E197" s="6" t="n"/>
      <c r="F197" s="6" t="n"/>
    </row>
    <row r="198">
      <c r="D198" s="5" t="n"/>
      <c r="E198" s="6" t="n"/>
      <c r="F198" s="6" t="n"/>
    </row>
    <row r="199">
      <c r="D199" s="5" t="n"/>
      <c r="E199" s="6" t="n"/>
      <c r="F199" s="6" t="n"/>
    </row>
    <row r="200">
      <c r="D200" s="5" t="n"/>
      <c r="E200" s="6" t="n"/>
      <c r="F200" s="6" t="n"/>
    </row>
    <row r="201">
      <c r="D201" s="5" t="n"/>
      <c r="E201" s="6" t="n"/>
      <c r="F201" s="6" t="n"/>
    </row>
  </sheetData>
  <autoFilter ref="A1:J201"/>
  <dataValidations count="1">
    <dataValidation sqref="I2:I201" showDropDown="0" showInputMessage="0" showErrorMessage="0" allowBlank="1" type="list">
      <formula1>"ระบบปกติ,ระบบขัดข้อง,รอตรวจสอบ,ปิดกิจกรรม"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28" customWidth="1" min="5" max="5"/>
    <col width="23" customWidth="1" min="6" max="6"/>
    <col width="23" customWidth="1" min="7" max="7"/>
    <col width="18" customWidth="1" min="8" max="8"/>
    <col width="16" customWidth="1" min="9" max="9"/>
    <col width="17" customWidth="1" min="10" max="10"/>
    <col width="20" customWidth="1" min="11" max="11"/>
    <col width="18" customWidth="1" min="12" max="12"/>
    <col width="24" customWidth="1" min="13" max="13"/>
    <col width="22" customWidth="1" min="14" max="14"/>
    <col width="20" customWidth="1" min="15" max="15"/>
    <col width="38" customWidth="1" min="16" max="16"/>
  </cols>
  <sheetData>
    <row r="1" ht="32" customHeight="1">
      <c r="A1" s="4" t="inlineStr">
        <is>
          <t>Record_ID</t>
        </is>
      </c>
      <c r="B1" s="4" t="inlineStr">
        <is>
          <t>Activity_ID</t>
        </is>
      </c>
      <c r="C1" s="4" t="inlineStr">
        <is>
          <t>ปีการศึกษา</t>
        </is>
      </c>
      <c r="D1" s="4" t="inlineStr">
        <is>
          <t>รหัสนักศึกษา</t>
        </is>
      </c>
      <c r="E1" s="4" t="inlineStr">
        <is>
          <t>ชื่อ-สกุล</t>
        </is>
      </c>
      <c r="F1" s="4" t="inlineStr">
        <is>
          <t>Check-in วันที่/เวลา</t>
        </is>
      </c>
      <c r="G1" s="4" t="inlineStr">
        <is>
          <t>Check-out วันที่/เวลา</t>
        </is>
      </c>
      <c r="H1" s="4" t="inlineStr">
        <is>
          <t>นาทีที่เข้าร่วม</t>
        </is>
      </c>
      <c r="I1" s="4" t="inlineStr">
        <is>
          <t>Check-in ครบ?</t>
        </is>
      </c>
      <c r="J1" s="4" t="inlineStr">
        <is>
          <t>Check-out ครบ?</t>
        </is>
      </c>
      <c r="K1" s="4" t="inlineStr">
        <is>
          <t>เข้าเกณฑ์ 90 นาที?</t>
        </is>
      </c>
      <c r="L1" s="4" t="inlineStr">
        <is>
          <t>ดาวเหลืองที่เสนอ</t>
        </is>
      </c>
      <c r="M1" s="4" t="inlineStr">
        <is>
          <t>ผู้บันทึก</t>
        </is>
      </c>
      <c r="N1" s="4" t="inlineStr">
        <is>
          <t>เวลาที่บันทึก</t>
        </is>
      </c>
      <c r="O1" s="4" t="inlineStr">
        <is>
          <t>สถานะตรวจสอบ</t>
        </is>
      </c>
      <c r="P1" s="4" t="inlineStr">
        <is>
          <t>หมายเหตุ/หลักฐาน</t>
        </is>
      </c>
    </row>
    <row r="2">
      <c r="A2" t="inlineStr">
        <is>
          <t>ATT-0001</t>
        </is>
      </c>
      <c r="B2" t="inlineStr">
        <is>
          <t>ACT-2026-001</t>
        </is>
      </c>
      <c r="C2" t="inlineStr">
        <is>
          <t>2569</t>
        </is>
      </c>
      <c r="D2" t="inlineStr">
        <is>
          <t>DEMO0001</t>
        </is>
      </c>
      <c r="E2" t="inlineStr">
        <is>
          <t>นักศึกษาตัวอย่าง</t>
        </is>
      </c>
      <c r="F2" s="7" t="n">
        <v>46308.5625</v>
      </c>
      <c r="G2" s="7" t="n">
        <v>46308.64583333334</v>
      </c>
      <c r="H2" s="10">
        <f>IF(OR(F2="",G2=""),"",MAX(0,ROUND((G2-F2)*1440,0)))</f>
        <v/>
      </c>
      <c r="I2" s="10">
        <f>IF(F2="","ไม่ครบ","ครบ")</f>
        <v/>
      </c>
      <c r="J2" s="10">
        <f>IF(G2="","ไม่ครบ","ครบ")</f>
        <v/>
      </c>
      <c r="K2" s="10">
        <f>IF(OR(F2="",G2=""),"ไม่ผ่าน",IF(H2&gt;=90,"ผ่าน","ไม่ผ่าน"))</f>
        <v/>
      </c>
      <c r="L2" s="10">
        <f>IF(K2="ผ่าน",1,0)</f>
        <v/>
      </c>
      <c r="M2" t="inlineStr">
        <is>
          <t>เจ้าหน้าที่ตัวอย่าง</t>
        </is>
      </c>
      <c r="N2" s="7" t="n">
        <v>46308.64930555555</v>
      </c>
      <c r="O2" t="inlineStr">
        <is>
          <t>อนุมัติ</t>
        </is>
      </c>
      <c r="P2" t="inlineStr">
        <is>
          <t>ข้อมูลสมมติสำหรับสาธิตเท่านั้น; ต้องตรวจยอดสะสม 12 ดาว/ปีและรายการซ้ำก่อนอนุมัติจริง</t>
        </is>
      </c>
    </row>
    <row r="3">
      <c r="F3" s="7" t="n"/>
      <c r="G3" s="7" t="n"/>
      <c r="H3" s="8">
        <f>IF(OR(F3="",G3=""),"",MAX(0,ROUND((G3-F3)*1440,0)))</f>
        <v/>
      </c>
      <c r="I3" s="8">
        <f>IF(F3="","ไม่ครบ","ครบ")</f>
        <v/>
      </c>
      <c r="J3" s="8">
        <f>IF(G3="","ไม่ครบ","ครบ")</f>
        <v/>
      </c>
      <c r="K3" s="8">
        <f>IF(OR(F3="",G3=""),"ไม่ผ่าน",IF(H3&gt;=90,"ผ่าน","ไม่ผ่าน"))</f>
        <v/>
      </c>
      <c r="L3" s="8">
        <f>IF(K3="ผ่าน",1,0)</f>
        <v/>
      </c>
      <c r="N3" s="7" t="n"/>
    </row>
    <row r="4">
      <c r="F4" s="7" t="n"/>
      <c r="G4" s="7" t="n"/>
      <c r="H4" s="8">
        <f>IF(OR(F4="",G4=""),"",MAX(0,ROUND((G4-F4)*1440,0)))</f>
        <v/>
      </c>
      <c r="I4" s="8">
        <f>IF(F4="","ไม่ครบ","ครบ")</f>
        <v/>
      </c>
      <c r="J4" s="8">
        <f>IF(G4="","ไม่ครบ","ครบ")</f>
        <v/>
      </c>
      <c r="K4" s="8">
        <f>IF(OR(F4="",G4=""),"ไม่ผ่าน",IF(H4&gt;=90,"ผ่าน","ไม่ผ่าน"))</f>
        <v/>
      </c>
      <c r="L4" s="8">
        <f>IF(K4="ผ่าน",1,0)</f>
        <v/>
      </c>
      <c r="N4" s="7" t="n"/>
    </row>
    <row r="5">
      <c r="F5" s="7" t="n"/>
      <c r="G5" s="7" t="n"/>
      <c r="H5" s="8">
        <f>IF(OR(F5="",G5=""),"",MAX(0,ROUND((G5-F5)*1440,0)))</f>
        <v/>
      </c>
      <c r="I5" s="8">
        <f>IF(F5="","ไม่ครบ","ครบ")</f>
        <v/>
      </c>
      <c r="J5" s="8">
        <f>IF(G5="","ไม่ครบ","ครบ")</f>
        <v/>
      </c>
      <c r="K5" s="8">
        <f>IF(OR(F5="",G5=""),"ไม่ผ่าน",IF(H5&gt;=90,"ผ่าน","ไม่ผ่าน"))</f>
        <v/>
      </c>
      <c r="L5" s="8">
        <f>IF(K5="ผ่าน",1,0)</f>
        <v/>
      </c>
      <c r="N5" s="7" t="n"/>
    </row>
    <row r="6">
      <c r="F6" s="7" t="n"/>
      <c r="G6" s="7" t="n"/>
      <c r="H6" s="8">
        <f>IF(OR(F6="",G6=""),"",MAX(0,ROUND((G6-F6)*1440,0)))</f>
        <v/>
      </c>
      <c r="I6" s="8">
        <f>IF(F6="","ไม่ครบ","ครบ")</f>
        <v/>
      </c>
      <c r="J6" s="8">
        <f>IF(G6="","ไม่ครบ","ครบ")</f>
        <v/>
      </c>
      <c r="K6" s="8">
        <f>IF(OR(F6="",G6=""),"ไม่ผ่าน",IF(H6&gt;=90,"ผ่าน","ไม่ผ่าน"))</f>
        <v/>
      </c>
      <c r="L6" s="8">
        <f>IF(K6="ผ่าน",1,0)</f>
        <v/>
      </c>
      <c r="N6" s="7" t="n"/>
    </row>
    <row r="7">
      <c r="F7" s="7" t="n"/>
      <c r="G7" s="7" t="n"/>
      <c r="H7" s="8">
        <f>IF(OR(F7="",G7=""),"",MAX(0,ROUND((G7-F7)*1440,0)))</f>
        <v/>
      </c>
      <c r="I7" s="8">
        <f>IF(F7="","ไม่ครบ","ครบ")</f>
        <v/>
      </c>
      <c r="J7" s="8">
        <f>IF(G7="","ไม่ครบ","ครบ")</f>
        <v/>
      </c>
      <c r="K7" s="8">
        <f>IF(OR(F7="",G7=""),"ไม่ผ่าน",IF(H7&gt;=90,"ผ่าน","ไม่ผ่าน"))</f>
        <v/>
      </c>
      <c r="L7" s="8">
        <f>IF(K7="ผ่าน",1,0)</f>
        <v/>
      </c>
      <c r="N7" s="7" t="n"/>
    </row>
    <row r="8">
      <c r="F8" s="7" t="n"/>
      <c r="G8" s="7" t="n"/>
      <c r="H8" s="8">
        <f>IF(OR(F8="",G8=""),"",MAX(0,ROUND((G8-F8)*1440,0)))</f>
        <v/>
      </c>
      <c r="I8" s="8">
        <f>IF(F8="","ไม่ครบ","ครบ")</f>
        <v/>
      </c>
      <c r="J8" s="8">
        <f>IF(G8="","ไม่ครบ","ครบ")</f>
        <v/>
      </c>
      <c r="K8" s="8">
        <f>IF(OR(F8="",G8=""),"ไม่ผ่าน",IF(H8&gt;=90,"ผ่าน","ไม่ผ่าน"))</f>
        <v/>
      </c>
      <c r="L8" s="8">
        <f>IF(K8="ผ่าน",1,0)</f>
        <v/>
      </c>
      <c r="N8" s="7" t="n"/>
    </row>
    <row r="9">
      <c r="F9" s="7" t="n"/>
      <c r="G9" s="7" t="n"/>
      <c r="H9" s="8">
        <f>IF(OR(F9="",G9=""),"",MAX(0,ROUND((G9-F9)*1440,0)))</f>
        <v/>
      </c>
      <c r="I9" s="8">
        <f>IF(F9="","ไม่ครบ","ครบ")</f>
        <v/>
      </c>
      <c r="J9" s="8">
        <f>IF(G9="","ไม่ครบ","ครบ")</f>
        <v/>
      </c>
      <c r="K9" s="8">
        <f>IF(OR(F9="",G9=""),"ไม่ผ่าน",IF(H9&gt;=90,"ผ่าน","ไม่ผ่าน"))</f>
        <v/>
      </c>
      <c r="L9" s="8">
        <f>IF(K9="ผ่าน",1,0)</f>
        <v/>
      </c>
      <c r="N9" s="7" t="n"/>
    </row>
    <row r="10">
      <c r="F10" s="7" t="n"/>
      <c r="G10" s="7" t="n"/>
      <c r="H10" s="8">
        <f>IF(OR(F10="",G10=""),"",MAX(0,ROUND((G10-F10)*1440,0)))</f>
        <v/>
      </c>
      <c r="I10" s="8">
        <f>IF(F10="","ไม่ครบ","ครบ")</f>
        <v/>
      </c>
      <c r="J10" s="8">
        <f>IF(G10="","ไม่ครบ","ครบ")</f>
        <v/>
      </c>
      <c r="K10" s="8">
        <f>IF(OR(F10="",G10=""),"ไม่ผ่าน",IF(H10&gt;=90,"ผ่าน","ไม่ผ่าน"))</f>
        <v/>
      </c>
      <c r="L10" s="8">
        <f>IF(K10="ผ่าน",1,0)</f>
        <v/>
      </c>
      <c r="N10" s="7" t="n"/>
    </row>
    <row r="11">
      <c r="F11" s="7" t="n"/>
      <c r="G11" s="7" t="n"/>
      <c r="H11" s="8">
        <f>IF(OR(F11="",G11=""),"",MAX(0,ROUND((G11-F11)*1440,0)))</f>
        <v/>
      </c>
      <c r="I11" s="8">
        <f>IF(F11="","ไม่ครบ","ครบ")</f>
        <v/>
      </c>
      <c r="J11" s="8">
        <f>IF(G11="","ไม่ครบ","ครบ")</f>
        <v/>
      </c>
      <c r="K11" s="8">
        <f>IF(OR(F11="",G11=""),"ไม่ผ่าน",IF(H11&gt;=90,"ผ่าน","ไม่ผ่าน"))</f>
        <v/>
      </c>
      <c r="L11" s="8">
        <f>IF(K11="ผ่าน",1,0)</f>
        <v/>
      </c>
      <c r="N11" s="7" t="n"/>
    </row>
    <row r="12">
      <c r="F12" s="7" t="n"/>
      <c r="G12" s="7" t="n"/>
      <c r="H12" s="8">
        <f>IF(OR(F12="",G12=""),"",MAX(0,ROUND((G12-F12)*1440,0)))</f>
        <v/>
      </c>
      <c r="I12" s="8">
        <f>IF(F12="","ไม่ครบ","ครบ")</f>
        <v/>
      </c>
      <c r="J12" s="8">
        <f>IF(G12="","ไม่ครบ","ครบ")</f>
        <v/>
      </c>
      <c r="K12" s="8">
        <f>IF(OR(F12="",G12=""),"ไม่ผ่าน",IF(H12&gt;=90,"ผ่าน","ไม่ผ่าน"))</f>
        <v/>
      </c>
      <c r="L12" s="8">
        <f>IF(K12="ผ่าน",1,0)</f>
        <v/>
      </c>
      <c r="N12" s="7" t="n"/>
    </row>
    <row r="13">
      <c r="F13" s="7" t="n"/>
      <c r="G13" s="7" t="n"/>
      <c r="H13" s="8">
        <f>IF(OR(F13="",G13=""),"",MAX(0,ROUND((G13-F13)*1440,0)))</f>
        <v/>
      </c>
      <c r="I13" s="8">
        <f>IF(F13="","ไม่ครบ","ครบ")</f>
        <v/>
      </c>
      <c r="J13" s="8">
        <f>IF(G13="","ไม่ครบ","ครบ")</f>
        <v/>
      </c>
      <c r="K13" s="8">
        <f>IF(OR(F13="",G13=""),"ไม่ผ่าน",IF(H13&gt;=90,"ผ่าน","ไม่ผ่าน"))</f>
        <v/>
      </c>
      <c r="L13" s="8">
        <f>IF(K13="ผ่าน",1,0)</f>
        <v/>
      </c>
      <c r="N13" s="7" t="n"/>
    </row>
    <row r="14">
      <c r="F14" s="7" t="n"/>
      <c r="G14" s="7" t="n"/>
      <c r="H14" s="8">
        <f>IF(OR(F14="",G14=""),"",MAX(0,ROUND((G14-F14)*1440,0)))</f>
        <v/>
      </c>
      <c r="I14" s="8">
        <f>IF(F14="","ไม่ครบ","ครบ")</f>
        <v/>
      </c>
      <c r="J14" s="8">
        <f>IF(G14="","ไม่ครบ","ครบ")</f>
        <v/>
      </c>
      <c r="K14" s="8">
        <f>IF(OR(F14="",G14=""),"ไม่ผ่าน",IF(H14&gt;=90,"ผ่าน","ไม่ผ่าน"))</f>
        <v/>
      </c>
      <c r="L14" s="8">
        <f>IF(K14="ผ่าน",1,0)</f>
        <v/>
      </c>
      <c r="N14" s="7" t="n"/>
    </row>
    <row r="15">
      <c r="F15" s="7" t="n"/>
      <c r="G15" s="7" t="n"/>
      <c r="H15" s="8">
        <f>IF(OR(F15="",G15=""),"",MAX(0,ROUND((G15-F15)*1440,0)))</f>
        <v/>
      </c>
      <c r="I15" s="8">
        <f>IF(F15="","ไม่ครบ","ครบ")</f>
        <v/>
      </c>
      <c r="J15" s="8">
        <f>IF(G15="","ไม่ครบ","ครบ")</f>
        <v/>
      </c>
      <c r="K15" s="8">
        <f>IF(OR(F15="",G15=""),"ไม่ผ่าน",IF(H15&gt;=90,"ผ่าน","ไม่ผ่าน"))</f>
        <v/>
      </c>
      <c r="L15" s="8">
        <f>IF(K15="ผ่าน",1,0)</f>
        <v/>
      </c>
      <c r="N15" s="7" t="n"/>
    </row>
    <row r="16">
      <c r="F16" s="7" t="n"/>
      <c r="G16" s="7" t="n"/>
      <c r="H16" s="8">
        <f>IF(OR(F16="",G16=""),"",MAX(0,ROUND((G16-F16)*1440,0)))</f>
        <v/>
      </c>
      <c r="I16" s="8">
        <f>IF(F16="","ไม่ครบ","ครบ")</f>
        <v/>
      </c>
      <c r="J16" s="8">
        <f>IF(G16="","ไม่ครบ","ครบ")</f>
        <v/>
      </c>
      <c r="K16" s="8">
        <f>IF(OR(F16="",G16=""),"ไม่ผ่าน",IF(H16&gt;=90,"ผ่าน","ไม่ผ่าน"))</f>
        <v/>
      </c>
      <c r="L16" s="8">
        <f>IF(K16="ผ่าน",1,0)</f>
        <v/>
      </c>
      <c r="N16" s="7" t="n"/>
    </row>
    <row r="17">
      <c r="F17" s="7" t="n"/>
      <c r="G17" s="7" t="n"/>
      <c r="H17" s="8">
        <f>IF(OR(F17="",G17=""),"",MAX(0,ROUND((G17-F17)*1440,0)))</f>
        <v/>
      </c>
      <c r="I17" s="8">
        <f>IF(F17="","ไม่ครบ","ครบ")</f>
        <v/>
      </c>
      <c r="J17" s="8">
        <f>IF(G17="","ไม่ครบ","ครบ")</f>
        <v/>
      </c>
      <c r="K17" s="8">
        <f>IF(OR(F17="",G17=""),"ไม่ผ่าน",IF(H17&gt;=90,"ผ่าน","ไม่ผ่าน"))</f>
        <v/>
      </c>
      <c r="L17" s="8">
        <f>IF(K17="ผ่าน",1,0)</f>
        <v/>
      </c>
      <c r="N17" s="7" t="n"/>
    </row>
    <row r="18">
      <c r="F18" s="7" t="n"/>
      <c r="G18" s="7" t="n"/>
      <c r="H18" s="8">
        <f>IF(OR(F18="",G18=""),"",MAX(0,ROUND((G18-F18)*1440,0)))</f>
        <v/>
      </c>
      <c r="I18" s="8">
        <f>IF(F18="","ไม่ครบ","ครบ")</f>
        <v/>
      </c>
      <c r="J18" s="8">
        <f>IF(G18="","ไม่ครบ","ครบ")</f>
        <v/>
      </c>
      <c r="K18" s="8">
        <f>IF(OR(F18="",G18=""),"ไม่ผ่าน",IF(H18&gt;=90,"ผ่าน","ไม่ผ่าน"))</f>
        <v/>
      </c>
      <c r="L18" s="8">
        <f>IF(K18="ผ่าน",1,0)</f>
        <v/>
      </c>
      <c r="N18" s="7" t="n"/>
    </row>
    <row r="19">
      <c r="F19" s="7" t="n"/>
      <c r="G19" s="7" t="n"/>
      <c r="H19" s="8">
        <f>IF(OR(F19="",G19=""),"",MAX(0,ROUND((G19-F19)*1440,0)))</f>
        <v/>
      </c>
      <c r="I19" s="8">
        <f>IF(F19="","ไม่ครบ","ครบ")</f>
        <v/>
      </c>
      <c r="J19" s="8">
        <f>IF(G19="","ไม่ครบ","ครบ")</f>
        <v/>
      </c>
      <c r="K19" s="8">
        <f>IF(OR(F19="",G19=""),"ไม่ผ่าน",IF(H19&gt;=90,"ผ่าน","ไม่ผ่าน"))</f>
        <v/>
      </c>
      <c r="L19" s="8">
        <f>IF(K19="ผ่าน",1,0)</f>
        <v/>
      </c>
      <c r="N19" s="7" t="n"/>
    </row>
    <row r="20">
      <c r="F20" s="7" t="n"/>
      <c r="G20" s="7" t="n"/>
      <c r="H20" s="8">
        <f>IF(OR(F20="",G20=""),"",MAX(0,ROUND((G20-F20)*1440,0)))</f>
        <v/>
      </c>
      <c r="I20" s="8">
        <f>IF(F20="","ไม่ครบ","ครบ")</f>
        <v/>
      </c>
      <c r="J20" s="8">
        <f>IF(G20="","ไม่ครบ","ครบ")</f>
        <v/>
      </c>
      <c r="K20" s="8">
        <f>IF(OR(F20="",G20=""),"ไม่ผ่าน",IF(H20&gt;=90,"ผ่าน","ไม่ผ่าน"))</f>
        <v/>
      </c>
      <c r="L20" s="8">
        <f>IF(K20="ผ่าน",1,0)</f>
        <v/>
      </c>
      <c r="N20" s="7" t="n"/>
    </row>
    <row r="21">
      <c r="F21" s="7" t="n"/>
      <c r="G21" s="7" t="n"/>
      <c r="H21" s="8">
        <f>IF(OR(F21="",G21=""),"",MAX(0,ROUND((G21-F21)*1440,0)))</f>
        <v/>
      </c>
      <c r="I21" s="8">
        <f>IF(F21="","ไม่ครบ","ครบ")</f>
        <v/>
      </c>
      <c r="J21" s="8">
        <f>IF(G21="","ไม่ครบ","ครบ")</f>
        <v/>
      </c>
      <c r="K21" s="8">
        <f>IF(OR(F21="",G21=""),"ไม่ผ่าน",IF(H21&gt;=90,"ผ่าน","ไม่ผ่าน"))</f>
        <v/>
      </c>
      <c r="L21" s="8">
        <f>IF(K21="ผ่าน",1,0)</f>
        <v/>
      </c>
      <c r="N21" s="7" t="n"/>
    </row>
    <row r="22">
      <c r="F22" s="7" t="n"/>
      <c r="G22" s="7" t="n"/>
      <c r="H22" s="8">
        <f>IF(OR(F22="",G22=""),"",MAX(0,ROUND((G22-F22)*1440,0)))</f>
        <v/>
      </c>
      <c r="I22" s="8">
        <f>IF(F22="","ไม่ครบ","ครบ")</f>
        <v/>
      </c>
      <c r="J22" s="8">
        <f>IF(G22="","ไม่ครบ","ครบ")</f>
        <v/>
      </c>
      <c r="K22" s="8">
        <f>IF(OR(F22="",G22=""),"ไม่ผ่าน",IF(H22&gt;=90,"ผ่าน","ไม่ผ่าน"))</f>
        <v/>
      </c>
      <c r="L22" s="8">
        <f>IF(K22="ผ่าน",1,0)</f>
        <v/>
      </c>
      <c r="N22" s="7" t="n"/>
    </row>
    <row r="23">
      <c r="F23" s="7" t="n"/>
      <c r="G23" s="7" t="n"/>
      <c r="H23" s="8">
        <f>IF(OR(F23="",G23=""),"",MAX(0,ROUND((G23-F23)*1440,0)))</f>
        <v/>
      </c>
      <c r="I23" s="8">
        <f>IF(F23="","ไม่ครบ","ครบ")</f>
        <v/>
      </c>
      <c r="J23" s="8">
        <f>IF(G23="","ไม่ครบ","ครบ")</f>
        <v/>
      </c>
      <c r="K23" s="8">
        <f>IF(OR(F23="",G23=""),"ไม่ผ่าน",IF(H23&gt;=90,"ผ่าน","ไม่ผ่าน"))</f>
        <v/>
      </c>
      <c r="L23" s="8">
        <f>IF(K23="ผ่าน",1,0)</f>
        <v/>
      </c>
      <c r="N23" s="7" t="n"/>
    </row>
    <row r="24">
      <c r="F24" s="7" t="n"/>
      <c r="G24" s="7" t="n"/>
      <c r="H24" s="8">
        <f>IF(OR(F24="",G24=""),"",MAX(0,ROUND((G24-F24)*1440,0)))</f>
        <v/>
      </c>
      <c r="I24" s="8">
        <f>IF(F24="","ไม่ครบ","ครบ")</f>
        <v/>
      </c>
      <c r="J24" s="8">
        <f>IF(G24="","ไม่ครบ","ครบ")</f>
        <v/>
      </c>
      <c r="K24" s="8">
        <f>IF(OR(F24="",G24=""),"ไม่ผ่าน",IF(H24&gt;=90,"ผ่าน","ไม่ผ่าน"))</f>
        <v/>
      </c>
      <c r="L24" s="8">
        <f>IF(K24="ผ่าน",1,0)</f>
        <v/>
      </c>
      <c r="N24" s="7" t="n"/>
    </row>
    <row r="25">
      <c r="F25" s="7" t="n"/>
      <c r="G25" s="7" t="n"/>
      <c r="H25" s="8">
        <f>IF(OR(F25="",G25=""),"",MAX(0,ROUND((G25-F25)*1440,0)))</f>
        <v/>
      </c>
      <c r="I25" s="8">
        <f>IF(F25="","ไม่ครบ","ครบ")</f>
        <v/>
      </c>
      <c r="J25" s="8">
        <f>IF(G25="","ไม่ครบ","ครบ")</f>
        <v/>
      </c>
      <c r="K25" s="8">
        <f>IF(OR(F25="",G25=""),"ไม่ผ่าน",IF(H25&gt;=90,"ผ่าน","ไม่ผ่าน"))</f>
        <v/>
      </c>
      <c r="L25" s="8">
        <f>IF(K25="ผ่าน",1,0)</f>
        <v/>
      </c>
      <c r="N25" s="7" t="n"/>
    </row>
    <row r="26">
      <c r="F26" s="7" t="n"/>
      <c r="G26" s="7" t="n"/>
      <c r="H26" s="8">
        <f>IF(OR(F26="",G26=""),"",MAX(0,ROUND((G26-F26)*1440,0)))</f>
        <v/>
      </c>
      <c r="I26" s="8">
        <f>IF(F26="","ไม่ครบ","ครบ")</f>
        <v/>
      </c>
      <c r="J26" s="8">
        <f>IF(G26="","ไม่ครบ","ครบ")</f>
        <v/>
      </c>
      <c r="K26" s="8">
        <f>IF(OR(F26="",G26=""),"ไม่ผ่าน",IF(H26&gt;=90,"ผ่าน","ไม่ผ่าน"))</f>
        <v/>
      </c>
      <c r="L26" s="8">
        <f>IF(K26="ผ่าน",1,0)</f>
        <v/>
      </c>
      <c r="N26" s="7" t="n"/>
    </row>
    <row r="27">
      <c r="F27" s="7" t="n"/>
      <c r="G27" s="7" t="n"/>
      <c r="H27" s="8">
        <f>IF(OR(F27="",G27=""),"",MAX(0,ROUND((G27-F27)*1440,0)))</f>
        <v/>
      </c>
      <c r="I27" s="8">
        <f>IF(F27="","ไม่ครบ","ครบ")</f>
        <v/>
      </c>
      <c r="J27" s="8">
        <f>IF(G27="","ไม่ครบ","ครบ")</f>
        <v/>
      </c>
      <c r="K27" s="8">
        <f>IF(OR(F27="",G27=""),"ไม่ผ่าน",IF(H27&gt;=90,"ผ่าน","ไม่ผ่าน"))</f>
        <v/>
      </c>
      <c r="L27" s="8">
        <f>IF(K27="ผ่าน",1,0)</f>
        <v/>
      </c>
      <c r="N27" s="7" t="n"/>
    </row>
    <row r="28">
      <c r="F28" s="7" t="n"/>
      <c r="G28" s="7" t="n"/>
      <c r="H28" s="8">
        <f>IF(OR(F28="",G28=""),"",MAX(0,ROUND((G28-F28)*1440,0)))</f>
        <v/>
      </c>
      <c r="I28" s="8">
        <f>IF(F28="","ไม่ครบ","ครบ")</f>
        <v/>
      </c>
      <c r="J28" s="8">
        <f>IF(G28="","ไม่ครบ","ครบ")</f>
        <v/>
      </c>
      <c r="K28" s="8">
        <f>IF(OR(F28="",G28=""),"ไม่ผ่าน",IF(H28&gt;=90,"ผ่าน","ไม่ผ่าน"))</f>
        <v/>
      </c>
      <c r="L28" s="8">
        <f>IF(K28="ผ่าน",1,0)</f>
        <v/>
      </c>
      <c r="N28" s="7" t="n"/>
    </row>
    <row r="29">
      <c r="F29" s="7" t="n"/>
      <c r="G29" s="7" t="n"/>
      <c r="H29" s="8">
        <f>IF(OR(F29="",G29=""),"",MAX(0,ROUND((G29-F29)*1440,0)))</f>
        <v/>
      </c>
      <c r="I29" s="8">
        <f>IF(F29="","ไม่ครบ","ครบ")</f>
        <v/>
      </c>
      <c r="J29" s="8">
        <f>IF(G29="","ไม่ครบ","ครบ")</f>
        <v/>
      </c>
      <c r="K29" s="8">
        <f>IF(OR(F29="",G29=""),"ไม่ผ่าน",IF(H29&gt;=90,"ผ่าน","ไม่ผ่าน"))</f>
        <v/>
      </c>
      <c r="L29" s="8">
        <f>IF(K29="ผ่าน",1,0)</f>
        <v/>
      </c>
      <c r="N29" s="7" t="n"/>
    </row>
    <row r="30">
      <c r="F30" s="7" t="n"/>
      <c r="G30" s="7" t="n"/>
      <c r="H30" s="8">
        <f>IF(OR(F30="",G30=""),"",MAX(0,ROUND((G30-F30)*1440,0)))</f>
        <v/>
      </c>
      <c r="I30" s="8">
        <f>IF(F30="","ไม่ครบ","ครบ")</f>
        <v/>
      </c>
      <c r="J30" s="8">
        <f>IF(G30="","ไม่ครบ","ครบ")</f>
        <v/>
      </c>
      <c r="K30" s="8">
        <f>IF(OR(F30="",G30=""),"ไม่ผ่าน",IF(H30&gt;=90,"ผ่าน","ไม่ผ่าน"))</f>
        <v/>
      </c>
      <c r="L30" s="8">
        <f>IF(K30="ผ่าน",1,0)</f>
        <v/>
      </c>
      <c r="N30" s="7" t="n"/>
    </row>
    <row r="31">
      <c r="F31" s="7" t="n"/>
      <c r="G31" s="7" t="n"/>
      <c r="H31" s="8">
        <f>IF(OR(F31="",G31=""),"",MAX(0,ROUND((G31-F31)*1440,0)))</f>
        <v/>
      </c>
      <c r="I31" s="8">
        <f>IF(F31="","ไม่ครบ","ครบ")</f>
        <v/>
      </c>
      <c r="J31" s="8">
        <f>IF(G31="","ไม่ครบ","ครบ")</f>
        <v/>
      </c>
      <c r="K31" s="8">
        <f>IF(OR(F31="",G31=""),"ไม่ผ่าน",IF(H31&gt;=90,"ผ่าน","ไม่ผ่าน"))</f>
        <v/>
      </c>
      <c r="L31" s="8">
        <f>IF(K31="ผ่าน",1,0)</f>
        <v/>
      </c>
      <c r="N31" s="7" t="n"/>
    </row>
    <row r="32">
      <c r="F32" s="7" t="n"/>
      <c r="G32" s="7" t="n"/>
      <c r="H32" s="8">
        <f>IF(OR(F32="",G32=""),"",MAX(0,ROUND((G32-F32)*1440,0)))</f>
        <v/>
      </c>
      <c r="I32" s="8">
        <f>IF(F32="","ไม่ครบ","ครบ")</f>
        <v/>
      </c>
      <c r="J32" s="8">
        <f>IF(G32="","ไม่ครบ","ครบ")</f>
        <v/>
      </c>
      <c r="K32" s="8">
        <f>IF(OR(F32="",G32=""),"ไม่ผ่าน",IF(H32&gt;=90,"ผ่าน","ไม่ผ่าน"))</f>
        <v/>
      </c>
      <c r="L32" s="8">
        <f>IF(K32="ผ่าน",1,0)</f>
        <v/>
      </c>
      <c r="N32" s="7" t="n"/>
    </row>
    <row r="33">
      <c r="F33" s="7" t="n"/>
      <c r="G33" s="7" t="n"/>
      <c r="H33" s="8">
        <f>IF(OR(F33="",G33=""),"",MAX(0,ROUND((G33-F33)*1440,0)))</f>
        <v/>
      </c>
      <c r="I33" s="8">
        <f>IF(F33="","ไม่ครบ","ครบ")</f>
        <v/>
      </c>
      <c r="J33" s="8">
        <f>IF(G33="","ไม่ครบ","ครบ")</f>
        <v/>
      </c>
      <c r="K33" s="8">
        <f>IF(OR(F33="",G33=""),"ไม่ผ่าน",IF(H33&gt;=90,"ผ่าน","ไม่ผ่าน"))</f>
        <v/>
      </c>
      <c r="L33" s="8">
        <f>IF(K33="ผ่าน",1,0)</f>
        <v/>
      </c>
      <c r="N33" s="7" t="n"/>
    </row>
    <row r="34">
      <c r="F34" s="7" t="n"/>
      <c r="G34" s="7" t="n"/>
      <c r="H34" s="8">
        <f>IF(OR(F34="",G34=""),"",MAX(0,ROUND((G34-F34)*1440,0)))</f>
        <v/>
      </c>
      <c r="I34" s="8">
        <f>IF(F34="","ไม่ครบ","ครบ")</f>
        <v/>
      </c>
      <c r="J34" s="8">
        <f>IF(G34="","ไม่ครบ","ครบ")</f>
        <v/>
      </c>
      <c r="K34" s="8">
        <f>IF(OR(F34="",G34=""),"ไม่ผ่าน",IF(H34&gt;=90,"ผ่าน","ไม่ผ่าน"))</f>
        <v/>
      </c>
      <c r="L34" s="8">
        <f>IF(K34="ผ่าน",1,0)</f>
        <v/>
      </c>
      <c r="N34" s="7" t="n"/>
    </row>
    <row r="35">
      <c r="F35" s="7" t="n"/>
      <c r="G35" s="7" t="n"/>
      <c r="H35" s="8">
        <f>IF(OR(F35="",G35=""),"",MAX(0,ROUND((G35-F35)*1440,0)))</f>
        <v/>
      </c>
      <c r="I35" s="8">
        <f>IF(F35="","ไม่ครบ","ครบ")</f>
        <v/>
      </c>
      <c r="J35" s="8">
        <f>IF(G35="","ไม่ครบ","ครบ")</f>
        <v/>
      </c>
      <c r="K35" s="8">
        <f>IF(OR(F35="",G35=""),"ไม่ผ่าน",IF(H35&gt;=90,"ผ่าน","ไม่ผ่าน"))</f>
        <v/>
      </c>
      <c r="L35" s="8">
        <f>IF(K35="ผ่าน",1,0)</f>
        <v/>
      </c>
      <c r="N35" s="7" t="n"/>
    </row>
    <row r="36">
      <c r="F36" s="7" t="n"/>
      <c r="G36" s="7" t="n"/>
      <c r="H36" s="8">
        <f>IF(OR(F36="",G36=""),"",MAX(0,ROUND((G36-F36)*1440,0)))</f>
        <v/>
      </c>
      <c r="I36" s="8">
        <f>IF(F36="","ไม่ครบ","ครบ")</f>
        <v/>
      </c>
      <c r="J36" s="8">
        <f>IF(G36="","ไม่ครบ","ครบ")</f>
        <v/>
      </c>
      <c r="K36" s="8">
        <f>IF(OR(F36="",G36=""),"ไม่ผ่าน",IF(H36&gt;=90,"ผ่าน","ไม่ผ่าน"))</f>
        <v/>
      </c>
      <c r="L36" s="8">
        <f>IF(K36="ผ่าน",1,0)</f>
        <v/>
      </c>
      <c r="N36" s="7" t="n"/>
    </row>
    <row r="37">
      <c r="F37" s="7" t="n"/>
      <c r="G37" s="7" t="n"/>
      <c r="H37" s="8">
        <f>IF(OR(F37="",G37=""),"",MAX(0,ROUND((G37-F37)*1440,0)))</f>
        <v/>
      </c>
      <c r="I37" s="8">
        <f>IF(F37="","ไม่ครบ","ครบ")</f>
        <v/>
      </c>
      <c r="J37" s="8">
        <f>IF(G37="","ไม่ครบ","ครบ")</f>
        <v/>
      </c>
      <c r="K37" s="8">
        <f>IF(OR(F37="",G37=""),"ไม่ผ่าน",IF(H37&gt;=90,"ผ่าน","ไม่ผ่าน"))</f>
        <v/>
      </c>
      <c r="L37" s="8">
        <f>IF(K37="ผ่าน",1,0)</f>
        <v/>
      </c>
      <c r="N37" s="7" t="n"/>
    </row>
    <row r="38">
      <c r="F38" s="7" t="n"/>
      <c r="G38" s="7" t="n"/>
      <c r="H38" s="8">
        <f>IF(OR(F38="",G38=""),"",MAX(0,ROUND((G38-F38)*1440,0)))</f>
        <v/>
      </c>
      <c r="I38" s="8">
        <f>IF(F38="","ไม่ครบ","ครบ")</f>
        <v/>
      </c>
      <c r="J38" s="8">
        <f>IF(G38="","ไม่ครบ","ครบ")</f>
        <v/>
      </c>
      <c r="K38" s="8">
        <f>IF(OR(F38="",G38=""),"ไม่ผ่าน",IF(H38&gt;=90,"ผ่าน","ไม่ผ่าน"))</f>
        <v/>
      </c>
      <c r="L38" s="8">
        <f>IF(K38="ผ่าน",1,0)</f>
        <v/>
      </c>
      <c r="N38" s="7" t="n"/>
    </row>
    <row r="39">
      <c r="F39" s="7" t="n"/>
      <c r="G39" s="7" t="n"/>
      <c r="H39" s="8">
        <f>IF(OR(F39="",G39=""),"",MAX(0,ROUND((G39-F39)*1440,0)))</f>
        <v/>
      </c>
      <c r="I39" s="8">
        <f>IF(F39="","ไม่ครบ","ครบ")</f>
        <v/>
      </c>
      <c r="J39" s="8">
        <f>IF(G39="","ไม่ครบ","ครบ")</f>
        <v/>
      </c>
      <c r="K39" s="8">
        <f>IF(OR(F39="",G39=""),"ไม่ผ่าน",IF(H39&gt;=90,"ผ่าน","ไม่ผ่าน"))</f>
        <v/>
      </c>
      <c r="L39" s="8">
        <f>IF(K39="ผ่าน",1,0)</f>
        <v/>
      </c>
      <c r="N39" s="7" t="n"/>
    </row>
    <row r="40">
      <c r="F40" s="7" t="n"/>
      <c r="G40" s="7" t="n"/>
      <c r="H40" s="8">
        <f>IF(OR(F40="",G40=""),"",MAX(0,ROUND((G40-F40)*1440,0)))</f>
        <v/>
      </c>
      <c r="I40" s="8">
        <f>IF(F40="","ไม่ครบ","ครบ")</f>
        <v/>
      </c>
      <c r="J40" s="8">
        <f>IF(G40="","ไม่ครบ","ครบ")</f>
        <v/>
      </c>
      <c r="K40" s="8">
        <f>IF(OR(F40="",G40=""),"ไม่ผ่าน",IF(H40&gt;=90,"ผ่าน","ไม่ผ่าน"))</f>
        <v/>
      </c>
      <c r="L40" s="8">
        <f>IF(K40="ผ่าน",1,0)</f>
        <v/>
      </c>
      <c r="N40" s="7" t="n"/>
    </row>
    <row r="41">
      <c r="F41" s="7" t="n"/>
      <c r="G41" s="7" t="n"/>
      <c r="H41" s="8">
        <f>IF(OR(F41="",G41=""),"",MAX(0,ROUND((G41-F41)*1440,0)))</f>
        <v/>
      </c>
      <c r="I41" s="8">
        <f>IF(F41="","ไม่ครบ","ครบ")</f>
        <v/>
      </c>
      <c r="J41" s="8">
        <f>IF(G41="","ไม่ครบ","ครบ")</f>
        <v/>
      </c>
      <c r="K41" s="8">
        <f>IF(OR(F41="",G41=""),"ไม่ผ่าน",IF(H41&gt;=90,"ผ่าน","ไม่ผ่าน"))</f>
        <v/>
      </c>
      <c r="L41" s="8">
        <f>IF(K41="ผ่าน",1,0)</f>
        <v/>
      </c>
      <c r="N41" s="7" t="n"/>
    </row>
    <row r="42">
      <c r="F42" s="7" t="n"/>
      <c r="G42" s="7" t="n"/>
      <c r="H42" s="8">
        <f>IF(OR(F42="",G42=""),"",MAX(0,ROUND((G42-F42)*1440,0)))</f>
        <v/>
      </c>
      <c r="I42" s="8">
        <f>IF(F42="","ไม่ครบ","ครบ")</f>
        <v/>
      </c>
      <c r="J42" s="8">
        <f>IF(G42="","ไม่ครบ","ครบ")</f>
        <v/>
      </c>
      <c r="K42" s="8">
        <f>IF(OR(F42="",G42=""),"ไม่ผ่าน",IF(H42&gt;=90,"ผ่าน","ไม่ผ่าน"))</f>
        <v/>
      </c>
      <c r="L42" s="8">
        <f>IF(K42="ผ่าน",1,0)</f>
        <v/>
      </c>
      <c r="N42" s="7" t="n"/>
    </row>
    <row r="43">
      <c r="F43" s="7" t="n"/>
      <c r="G43" s="7" t="n"/>
      <c r="H43" s="8">
        <f>IF(OR(F43="",G43=""),"",MAX(0,ROUND((G43-F43)*1440,0)))</f>
        <v/>
      </c>
      <c r="I43" s="8">
        <f>IF(F43="","ไม่ครบ","ครบ")</f>
        <v/>
      </c>
      <c r="J43" s="8">
        <f>IF(G43="","ไม่ครบ","ครบ")</f>
        <v/>
      </c>
      <c r="K43" s="8">
        <f>IF(OR(F43="",G43=""),"ไม่ผ่าน",IF(H43&gt;=90,"ผ่าน","ไม่ผ่าน"))</f>
        <v/>
      </c>
      <c r="L43" s="8">
        <f>IF(K43="ผ่าน",1,0)</f>
        <v/>
      </c>
      <c r="N43" s="7" t="n"/>
    </row>
    <row r="44">
      <c r="F44" s="7" t="n"/>
      <c r="G44" s="7" t="n"/>
      <c r="H44" s="8">
        <f>IF(OR(F44="",G44=""),"",MAX(0,ROUND((G44-F44)*1440,0)))</f>
        <v/>
      </c>
      <c r="I44" s="8">
        <f>IF(F44="","ไม่ครบ","ครบ")</f>
        <v/>
      </c>
      <c r="J44" s="8">
        <f>IF(G44="","ไม่ครบ","ครบ")</f>
        <v/>
      </c>
      <c r="K44" s="8">
        <f>IF(OR(F44="",G44=""),"ไม่ผ่าน",IF(H44&gt;=90,"ผ่าน","ไม่ผ่าน"))</f>
        <v/>
      </c>
      <c r="L44" s="8">
        <f>IF(K44="ผ่าน",1,0)</f>
        <v/>
      </c>
      <c r="N44" s="7" t="n"/>
    </row>
    <row r="45">
      <c r="F45" s="7" t="n"/>
      <c r="G45" s="7" t="n"/>
      <c r="H45" s="8">
        <f>IF(OR(F45="",G45=""),"",MAX(0,ROUND((G45-F45)*1440,0)))</f>
        <v/>
      </c>
      <c r="I45" s="8">
        <f>IF(F45="","ไม่ครบ","ครบ")</f>
        <v/>
      </c>
      <c r="J45" s="8">
        <f>IF(G45="","ไม่ครบ","ครบ")</f>
        <v/>
      </c>
      <c r="K45" s="8">
        <f>IF(OR(F45="",G45=""),"ไม่ผ่าน",IF(H45&gt;=90,"ผ่าน","ไม่ผ่าน"))</f>
        <v/>
      </c>
      <c r="L45" s="8">
        <f>IF(K45="ผ่าน",1,0)</f>
        <v/>
      </c>
      <c r="N45" s="7" t="n"/>
    </row>
    <row r="46">
      <c r="F46" s="7" t="n"/>
      <c r="G46" s="7" t="n"/>
      <c r="H46" s="8">
        <f>IF(OR(F46="",G46=""),"",MAX(0,ROUND((G46-F46)*1440,0)))</f>
        <v/>
      </c>
      <c r="I46" s="8">
        <f>IF(F46="","ไม่ครบ","ครบ")</f>
        <v/>
      </c>
      <c r="J46" s="8">
        <f>IF(G46="","ไม่ครบ","ครบ")</f>
        <v/>
      </c>
      <c r="K46" s="8">
        <f>IF(OR(F46="",G46=""),"ไม่ผ่าน",IF(H46&gt;=90,"ผ่าน","ไม่ผ่าน"))</f>
        <v/>
      </c>
      <c r="L46" s="8">
        <f>IF(K46="ผ่าน",1,0)</f>
        <v/>
      </c>
      <c r="N46" s="7" t="n"/>
    </row>
    <row r="47">
      <c r="F47" s="7" t="n"/>
      <c r="G47" s="7" t="n"/>
      <c r="H47" s="8">
        <f>IF(OR(F47="",G47=""),"",MAX(0,ROUND((G47-F47)*1440,0)))</f>
        <v/>
      </c>
      <c r="I47" s="8">
        <f>IF(F47="","ไม่ครบ","ครบ")</f>
        <v/>
      </c>
      <c r="J47" s="8">
        <f>IF(G47="","ไม่ครบ","ครบ")</f>
        <v/>
      </c>
      <c r="K47" s="8">
        <f>IF(OR(F47="",G47=""),"ไม่ผ่าน",IF(H47&gt;=90,"ผ่าน","ไม่ผ่าน"))</f>
        <v/>
      </c>
      <c r="L47" s="8">
        <f>IF(K47="ผ่าน",1,0)</f>
        <v/>
      </c>
      <c r="N47" s="7" t="n"/>
    </row>
    <row r="48">
      <c r="F48" s="7" t="n"/>
      <c r="G48" s="7" t="n"/>
      <c r="H48" s="8">
        <f>IF(OR(F48="",G48=""),"",MAX(0,ROUND((G48-F48)*1440,0)))</f>
        <v/>
      </c>
      <c r="I48" s="8">
        <f>IF(F48="","ไม่ครบ","ครบ")</f>
        <v/>
      </c>
      <c r="J48" s="8">
        <f>IF(G48="","ไม่ครบ","ครบ")</f>
        <v/>
      </c>
      <c r="K48" s="8">
        <f>IF(OR(F48="",G48=""),"ไม่ผ่าน",IF(H48&gt;=90,"ผ่าน","ไม่ผ่าน"))</f>
        <v/>
      </c>
      <c r="L48" s="8">
        <f>IF(K48="ผ่าน",1,0)</f>
        <v/>
      </c>
      <c r="N48" s="7" t="n"/>
    </row>
    <row r="49">
      <c r="F49" s="7" t="n"/>
      <c r="G49" s="7" t="n"/>
      <c r="H49" s="8">
        <f>IF(OR(F49="",G49=""),"",MAX(0,ROUND((G49-F49)*1440,0)))</f>
        <v/>
      </c>
      <c r="I49" s="8">
        <f>IF(F49="","ไม่ครบ","ครบ")</f>
        <v/>
      </c>
      <c r="J49" s="8">
        <f>IF(G49="","ไม่ครบ","ครบ")</f>
        <v/>
      </c>
      <c r="K49" s="8">
        <f>IF(OR(F49="",G49=""),"ไม่ผ่าน",IF(H49&gt;=90,"ผ่าน","ไม่ผ่าน"))</f>
        <v/>
      </c>
      <c r="L49" s="8">
        <f>IF(K49="ผ่าน",1,0)</f>
        <v/>
      </c>
      <c r="N49" s="7" t="n"/>
    </row>
    <row r="50">
      <c r="F50" s="7" t="n"/>
      <c r="G50" s="7" t="n"/>
      <c r="H50" s="8">
        <f>IF(OR(F50="",G50=""),"",MAX(0,ROUND((G50-F50)*1440,0)))</f>
        <v/>
      </c>
      <c r="I50" s="8">
        <f>IF(F50="","ไม่ครบ","ครบ")</f>
        <v/>
      </c>
      <c r="J50" s="8">
        <f>IF(G50="","ไม่ครบ","ครบ")</f>
        <v/>
      </c>
      <c r="K50" s="8">
        <f>IF(OR(F50="",G50=""),"ไม่ผ่าน",IF(H50&gt;=90,"ผ่าน","ไม่ผ่าน"))</f>
        <v/>
      </c>
      <c r="L50" s="8">
        <f>IF(K50="ผ่าน",1,0)</f>
        <v/>
      </c>
      <c r="N50" s="7" t="n"/>
    </row>
    <row r="51">
      <c r="F51" s="7" t="n"/>
      <c r="G51" s="7" t="n"/>
      <c r="H51" s="8">
        <f>IF(OR(F51="",G51=""),"",MAX(0,ROUND((G51-F51)*1440,0)))</f>
        <v/>
      </c>
      <c r="I51" s="8">
        <f>IF(F51="","ไม่ครบ","ครบ")</f>
        <v/>
      </c>
      <c r="J51" s="8">
        <f>IF(G51="","ไม่ครบ","ครบ")</f>
        <v/>
      </c>
      <c r="K51" s="8">
        <f>IF(OR(F51="",G51=""),"ไม่ผ่าน",IF(H51&gt;=90,"ผ่าน","ไม่ผ่าน"))</f>
        <v/>
      </c>
      <c r="L51" s="8">
        <f>IF(K51="ผ่าน",1,0)</f>
        <v/>
      </c>
      <c r="N51" s="7" t="n"/>
    </row>
    <row r="52">
      <c r="F52" s="7" t="n"/>
      <c r="G52" s="7" t="n"/>
      <c r="H52" s="8">
        <f>IF(OR(F52="",G52=""),"",MAX(0,ROUND((G52-F52)*1440,0)))</f>
        <v/>
      </c>
      <c r="I52" s="8">
        <f>IF(F52="","ไม่ครบ","ครบ")</f>
        <v/>
      </c>
      <c r="J52" s="8">
        <f>IF(G52="","ไม่ครบ","ครบ")</f>
        <v/>
      </c>
      <c r="K52" s="8">
        <f>IF(OR(F52="",G52=""),"ไม่ผ่าน",IF(H52&gt;=90,"ผ่าน","ไม่ผ่าน"))</f>
        <v/>
      </c>
      <c r="L52" s="8">
        <f>IF(K52="ผ่าน",1,0)</f>
        <v/>
      </c>
      <c r="N52" s="7" t="n"/>
    </row>
    <row r="53">
      <c r="F53" s="7" t="n"/>
      <c r="G53" s="7" t="n"/>
      <c r="H53" s="8">
        <f>IF(OR(F53="",G53=""),"",MAX(0,ROUND((G53-F53)*1440,0)))</f>
        <v/>
      </c>
      <c r="I53" s="8">
        <f>IF(F53="","ไม่ครบ","ครบ")</f>
        <v/>
      </c>
      <c r="J53" s="8">
        <f>IF(G53="","ไม่ครบ","ครบ")</f>
        <v/>
      </c>
      <c r="K53" s="8">
        <f>IF(OR(F53="",G53=""),"ไม่ผ่าน",IF(H53&gt;=90,"ผ่าน","ไม่ผ่าน"))</f>
        <v/>
      </c>
      <c r="L53" s="8">
        <f>IF(K53="ผ่าน",1,0)</f>
        <v/>
      </c>
      <c r="N53" s="7" t="n"/>
    </row>
    <row r="54">
      <c r="F54" s="7" t="n"/>
      <c r="G54" s="7" t="n"/>
      <c r="H54" s="8">
        <f>IF(OR(F54="",G54=""),"",MAX(0,ROUND((G54-F54)*1440,0)))</f>
        <v/>
      </c>
      <c r="I54" s="8">
        <f>IF(F54="","ไม่ครบ","ครบ")</f>
        <v/>
      </c>
      <c r="J54" s="8">
        <f>IF(G54="","ไม่ครบ","ครบ")</f>
        <v/>
      </c>
      <c r="K54" s="8">
        <f>IF(OR(F54="",G54=""),"ไม่ผ่าน",IF(H54&gt;=90,"ผ่าน","ไม่ผ่าน"))</f>
        <v/>
      </c>
      <c r="L54" s="8">
        <f>IF(K54="ผ่าน",1,0)</f>
        <v/>
      </c>
      <c r="N54" s="7" t="n"/>
    </row>
    <row r="55">
      <c r="F55" s="7" t="n"/>
      <c r="G55" s="7" t="n"/>
      <c r="H55" s="8">
        <f>IF(OR(F55="",G55=""),"",MAX(0,ROUND((G55-F55)*1440,0)))</f>
        <v/>
      </c>
      <c r="I55" s="8">
        <f>IF(F55="","ไม่ครบ","ครบ")</f>
        <v/>
      </c>
      <c r="J55" s="8">
        <f>IF(G55="","ไม่ครบ","ครบ")</f>
        <v/>
      </c>
      <c r="K55" s="8">
        <f>IF(OR(F55="",G55=""),"ไม่ผ่าน",IF(H55&gt;=90,"ผ่าน","ไม่ผ่าน"))</f>
        <v/>
      </c>
      <c r="L55" s="8">
        <f>IF(K55="ผ่าน",1,0)</f>
        <v/>
      </c>
      <c r="N55" s="7" t="n"/>
    </row>
    <row r="56">
      <c r="F56" s="7" t="n"/>
      <c r="G56" s="7" t="n"/>
      <c r="H56" s="8">
        <f>IF(OR(F56="",G56=""),"",MAX(0,ROUND((G56-F56)*1440,0)))</f>
        <v/>
      </c>
      <c r="I56" s="8">
        <f>IF(F56="","ไม่ครบ","ครบ")</f>
        <v/>
      </c>
      <c r="J56" s="8">
        <f>IF(G56="","ไม่ครบ","ครบ")</f>
        <v/>
      </c>
      <c r="K56" s="8">
        <f>IF(OR(F56="",G56=""),"ไม่ผ่าน",IF(H56&gt;=90,"ผ่าน","ไม่ผ่าน"))</f>
        <v/>
      </c>
      <c r="L56" s="8">
        <f>IF(K56="ผ่าน",1,0)</f>
        <v/>
      </c>
      <c r="N56" s="7" t="n"/>
    </row>
    <row r="57">
      <c r="F57" s="7" t="n"/>
      <c r="G57" s="7" t="n"/>
      <c r="H57" s="8">
        <f>IF(OR(F57="",G57=""),"",MAX(0,ROUND((G57-F57)*1440,0)))</f>
        <v/>
      </c>
      <c r="I57" s="8">
        <f>IF(F57="","ไม่ครบ","ครบ")</f>
        <v/>
      </c>
      <c r="J57" s="8">
        <f>IF(G57="","ไม่ครบ","ครบ")</f>
        <v/>
      </c>
      <c r="K57" s="8">
        <f>IF(OR(F57="",G57=""),"ไม่ผ่าน",IF(H57&gt;=90,"ผ่าน","ไม่ผ่าน"))</f>
        <v/>
      </c>
      <c r="L57" s="8">
        <f>IF(K57="ผ่าน",1,0)</f>
        <v/>
      </c>
      <c r="N57" s="7" t="n"/>
    </row>
    <row r="58">
      <c r="F58" s="7" t="n"/>
      <c r="G58" s="7" t="n"/>
      <c r="H58" s="8">
        <f>IF(OR(F58="",G58=""),"",MAX(0,ROUND((G58-F58)*1440,0)))</f>
        <v/>
      </c>
      <c r="I58" s="8">
        <f>IF(F58="","ไม่ครบ","ครบ")</f>
        <v/>
      </c>
      <c r="J58" s="8">
        <f>IF(G58="","ไม่ครบ","ครบ")</f>
        <v/>
      </c>
      <c r="K58" s="8">
        <f>IF(OR(F58="",G58=""),"ไม่ผ่าน",IF(H58&gt;=90,"ผ่าน","ไม่ผ่าน"))</f>
        <v/>
      </c>
      <c r="L58" s="8">
        <f>IF(K58="ผ่าน",1,0)</f>
        <v/>
      </c>
      <c r="N58" s="7" t="n"/>
    </row>
    <row r="59">
      <c r="F59" s="7" t="n"/>
      <c r="G59" s="7" t="n"/>
      <c r="H59" s="8">
        <f>IF(OR(F59="",G59=""),"",MAX(0,ROUND((G59-F59)*1440,0)))</f>
        <v/>
      </c>
      <c r="I59" s="8">
        <f>IF(F59="","ไม่ครบ","ครบ")</f>
        <v/>
      </c>
      <c r="J59" s="8">
        <f>IF(G59="","ไม่ครบ","ครบ")</f>
        <v/>
      </c>
      <c r="K59" s="8">
        <f>IF(OR(F59="",G59=""),"ไม่ผ่าน",IF(H59&gt;=90,"ผ่าน","ไม่ผ่าน"))</f>
        <v/>
      </c>
      <c r="L59" s="8">
        <f>IF(K59="ผ่าน",1,0)</f>
        <v/>
      </c>
      <c r="N59" s="7" t="n"/>
    </row>
    <row r="60">
      <c r="F60" s="7" t="n"/>
      <c r="G60" s="7" t="n"/>
      <c r="H60" s="8">
        <f>IF(OR(F60="",G60=""),"",MAX(0,ROUND((G60-F60)*1440,0)))</f>
        <v/>
      </c>
      <c r="I60" s="8">
        <f>IF(F60="","ไม่ครบ","ครบ")</f>
        <v/>
      </c>
      <c r="J60" s="8">
        <f>IF(G60="","ไม่ครบ","ครบ")</f>
        <v/>
      </c>
      <c r="K60" s="8">
        <f>IF(OR(F60="",G60=""),"ไม่ผ่าน",IF(H60&gt;=90,"ผ่าน","ไม่ผ่าน"))</f>
        <v/>
      </c>
      <c r="L60" s="8">
        <f>IF(K60="ผ่าน",1,0)</f>
        <v/>
      </c>
      <c r="N60" s="7" t="n"/>
    </row>
    <row r="61">
      <c r="F61" s="7" t="n"/>
      <c r="G61" s="7" t="n"/>
      <c r="H61" s="8">
        <f>IF(OR(F61="",G61=""),"",MAX(0,ROUND((G61-F61)*1440,0)))</f>
        <v/>
      </c>
      <c r="I61" s="8">
        <f>IF(F61="","ไม่ครบ","ครบ")</f>
        <v/>
      </c>
      <c r="J61" s="8">
        <f>IF(G61="","ไม่ครบ","ครบ")</f>
        <v/>
      </c>
      <c r="K61" s="8">
        <f>IF(OR(F61="",G61=""),"ไม่ผ่าน",IF(H61&gt;=90,"ผ่าน","ไม่ผ่าน"))</f>
        <v/>
      </c>
      <c r="L61" s="8">
        <f>IF(K61="ผ่าน",1,0)</f>
        <v/>
      </c>
      <c r="N61" s="7" t="n"/>
    </row>
    <row r="62">
      <c r="F62" s="7" t="n"/>
      <c r="G62" s="7" t="n"/>
      <c r="H62" s="8">
        <f>IF(OR(F62="",G62=""),"",MAX(0,ROUND((G62-F62)*1440,0)))</f>
        <v/>
      </c>
      <c r="I62" s="8">
        <f>IF(F62="","ไม่ครบ","ครบ")</f>
        <v/>
      </c>
      <c r="J62" s="8">
        <f>IF(G62="","ไม่ครบ","ครบ")</f>
        <v/>
      </c>
      <c r="K62" s="8">
        <f>IF(OR(F62="",G62=""),"ไม่ผ่าน",IF(H62&gt;=90,"ผ่าน","ไม่ผ่าน"))</f>
        <v/>
      </c>
      <c r="L62" s="8">
        <f>IF(K62="ผ่าน",1,0)</f>
        <v/>
      </c>
      <c r="N62" s="7" t="n"/>
    </row>
    <row r="63">
      <c r="F63" s="7" t="n"/>
      <c r="G63" s="7" t="n"/>
      <c r="H63" s="8">
        <f>IF(OR(F63="",G63=""),"",MAX(0,ROUND((G63-F63)*1440,0)))</f>
        <v/>
      </c>
      <c r="I63" s="8">
        <f>IF(F63="","ไม่ครบ","ครบ")</f>
        <v/>
      </c>
      <c r="J63" s="8">
        <f>IF(G63="","ไม่ครบ","ครบ")</f>
        <v/>
      </c>
      <c r="K63" s="8">
        <f>IF(OR(F63="",G63=""),"ไม่ผ่าน",IF(H63&gt;=90,"ผ่าน","ไม่ผ่าน"))</f>
        <v/>
      </c>
      <c r="L63" s="8">
        <f>IF(K63="ผ่าน",1,0)</f>
        <v/>
      </c>
      <c r="N63" s="7" t="n"/>
    </row>
    <row r="64">
      <c r="F64" s="7" t="n"/>
      <c r="G64" s="7" t="n"/>
      <c r="H64" s="8">
        <f>IF(OR(F64="",G64=""),"",MAX(0,ROUND((G64-F64)*1440,0)))</f>
        <v/>
      </c>
      <c r="I64" s="8">
        <f>IF(F64="","ไม่ครบ","ครบ")</f>
        <v/>
      </c>
      <c r="J64" s="8">
        <f>IF(G64="","ไม่ครบ","ครบ")</f>
        <v/>
      </c>
      <c r="K64" s="8">
        <f>IF(OR(F64="",G64=""),"ไม่ผ่าน",IF(H64&gt;=90,"ผ่าน","ไม่ผ่าน"))</f>
        <v/>
      </c>
      <c r="L64" s="8">
        <f>IF(K64="ผ่าน",1,0)</f>
        <v/>
      </c>
      <c r="N64" s="7" t="n"/>
    </row>
    <row r="65">
      <c r="F65" s="7" t="n"/>
      <c r="G65" s="7" t="n"/>
      <c r="H65" s="8">
        <f>IF(OR(F65="",G65=""),"",MAX(0,ROUND((G65-F65)*1440,0)))</f>
        <v/>
      </c>
      <c r="I65" s="8">
        <f>IF(F65="","ไม่ครบ","ครบ")</f>
        <v/>
      </c>
      <c r="J65" s="8">
        <f>IF(G65="","ไม่ครบ","ครบ")</f>
        <v/>
      </c>
      <c r="K65" s="8">
        <f>IF(OR(F65="",G65=""),"ไม่ผ่าน",IF(H65&gt;=90,"ผ่าน","ไม่ผ่าน"))</f>
        <v/>
      </c>
      <c r="L65" s="8">
        <f>IF(K65="ผ่าน",1,0)</f>
        <v/>
      </c>
      <c r="N65" s="7" t="n"/>
    </row>
    <row r="66">
      <c r="F66" s="7" t="n"/>
      <c r="G66" s="7" t="n"/>
      <c r="H66" s="8">
        <f>IF(OR(F66="",G66=""),"",MAX(0,ROUND((G66-F66)*1440,0)))</f>
        <v/>
      </c>
      <c r="I66" s="8">
        <f>IF(F66="","ไม่ครบ","ครบ")</f>
        <v/>
      </c>
      <c r="J66" s="8">
        <f>IF(G66="","ไม่ครบ","ครบ")</f>
        <v/>
      </c>
      <c r="K66" s="8">
        <f>IF(OR(F66="",G66=""),"ไม่ผ่าน",IF(H66&gt;=90,"ผ่าน","ไม่ผ่าน"))</f>
        <v/>
      </c>
      <c r="L66" s="8">
        <f>IF(K66="ผ่าน",1,0)</f>
        <v/>
      </c>
      <c r="N66" s="7" t="n"/>
    </row>
    <row r="67">
      <c r="F67" s="7" t="n"/>
      <c r="G67" s="7" t="n"/>
      <c r="H67" s="8">
        <f>IF(OR(F67="",G67=""),"",MAX(0,ROUND((G67-F67)*1440,0)))</f>
        <v/>
      </c>
      <c r="I67" s="8">
        <f>IF(F67="","ไม่ครบ","ครบ")</f>
        <v/>
      </c>
      <c r="J67" s="8">
        <f>IF(G67="","ไม่ครบ","ครบ")</f>
        <v/>
      </c>
      <c r="K67" s="8">
        <f>IF(OR(F67="",G67=""),"ไม่ผ่าน",IF(H67&gt;=90,"ผ่าน","ไม่ผ่าน"))</f>
        <v/>
      </c>
      <c r="L67" s="8">
        <f>IF(K67="ผ่าน",1,0)</f>
        <v/>
      </c>
      <c r="N67" s="7" t="n"/>
    </row>
    <row r="68">
      <c r="F68" s="7" t="n"/>
      <c r="G68" s="7" t="n"/>
      <c r="H68" s="8">
        <f>IF(OR(F68="",G68=""),"",MAX(0,ROUND((G68-F68)*1440,0)))</f>
        <v/>
      </c>
      <c r="I68" s="8">
        <f>IF(F68="","ไม่ครบ","ครบ")</f>
        <v/>
      </c>
      <c r="J68" s="8">
        <f>IF(G68="","ไม่ครบ","ครบ")</f>
        <v/>
      </c>
      <c r="K68" s="8">
        <f>IF(OR(F68="",G68=""),"ไม่ผ่าน",IF(H68&gt;=90,"ผ่าน","ไม่ผ่าน"))</f>
        <v/>
      </c>
      <c r="L68" s="8">
        <f>IF(K68="ผ่าน",1,0)</f>
        <v/>
      </c>
      <c r="N68" s="7" t="n"/>
    </row>
    <row r="69">
      <c r="F69" s="7" t="n"/>
      <c r="G69" s="7" t="n"/>
      <c r="H69" s="8">
        <f>IF(OR(F69="",G69=""),"",MAX(0,ROUND((G69-F69)*1440,0)))</f>
        <v/>
      </c>
      <c r="I69" s="8">
        <f>IF(F69="","ไม่ครบ","ครบ")</f>
        <v/>
      </c>
      <c r="J69" s="8">
        <f>IF(G69="","ไม่ครบ","ครบ")</f>
        <v/>
      </c>
      <c r="K69" s="8">
        <f>IF(OR(F69="",G69=""),"ไม่ผ่าน",IF(H69&gt;=90,"ผ่าน","ไม่ผ่าน"))</f>
        <v/>
      </c>
      <c r="L69" s="8">
        <f>IF(K69="ผ่าน",1,0)</f>
        <v/>
      </c>
      <c r="N69" s="7" t="n"/>
    </row>
    <row r="70">
      <c r="F70" s="7" t="n"/>
      <c r="G70" s="7" t="n"/>
      <c r="H70" s="8">
        <f>IF(OR(F70="",G70=""),"",MAX(0,ROUND((G70-F70)*1440,0)))</f>
        <v/>
      </c>
      <c r="I70" s="8">
        <f>IF(F70="","ไม่ครบ","ครบ")</f>
        <v/>
      </c>
      <c r="J70" s="8">
        <f>IF(G70="","ไม่ครบ","ครบ")</f>
        <v/>
      </c>
      <c r="K70" s="8">
        <f>IF(OR(F70="",G70=""),"ไม่ผ่าน",IF(H70&gt;=90,"ผ่าน","ไม่ผ่าน"))</f>
        <v/>
      </c>
      <c r="L70" s="8">
        <f>IF(K70="ผ่าน",1,0)</f>
        <v/>
      </c>
      <c r="N70" s="7" t="n"/>
    </row>
    <row r="71">
      <c r="F71" s="7" t="n"/>
      <c r="G71" s="7" t="n"/>
      <c r="H71" s="8">
        <f>IF(OR(F71="",G71=""),"",MAX(0,ROUND((G71-F71)*1440,0)))</f>
        <v/>
      </c>
      <c r="I71" s="8">
        <f>IF(F71="","ไม่ครบ","ครบ")</f>
        <v/>
      </c>
      <c r="J71" s="8">
        <f>IF(G71="","ไม่ครบ","ครบ")</f>
        <v/>
      </c>
      <c r="K71" s="8">
        <f>IF(OR(F71="",G71=""),"ไม่ผ่าน",IF(H71&gt;=90,"ผ่าน","ไม่ผ่าน"))</f>
        <v/>
      </c>
      <c r="L71" s="8">
        <f>IF(K71="ผ่าน",1,0)</f>
        <v/>
      </c>
      <c r="N71" s="7" t="n"/>
    </row>
    <row r="72">
      <c r="F72" s="7" t="n"/>
      <c r="G72" s="7" t="n"/>
      <c r="H72" s="8">
        <f>IF(OR(F72="",G72=""),"",MAX(0,ROUND((G72-F72)*1440,0)))</f>
        <v/>
      </c>
      <c r="I72" s="8">
        <f>IF(F72="","ไม่ครบ","ครบ")</f>
        <v/>
      </c>
      <c r="J72" s="8">
        <f>IF(G72="","ไม่ครบ","ครบ")</f>
        <v/>
      </c>
      <c r="K72" s="8">
        <f>IF(OR(F72="",G72=""),"ไม่ผ่าน",IF(H72&gt;=90,"ผ่าน","ไม่ผ่าน"))</f>
        <v/>
      </c>
      <c r="L72" s="8">
        <f>IF(K72="ผ่าน",1,0)</f>
        <v/>
      </c>
      <c r="N72" s="7" t="n"/>
    </row>
    <row r="73">
      <c r="F73" s="7" t="n"/>
      <c r="G73" s="7" t="n"/>
      <c r="H73" s="8">
        <f>IF(OR(F73="",G73=""),"",MAX(0,ROUND((G73-F73)*1440,0)))</f>
        <v/>
      </c>
      <c r="I73" s="8">
        <f>IF(F73="","ไม่ครบ","ครบ")</f>
        <v/>
      </c>
      <c r="J73" s="8">
        <f>IF(G73="","ไม่ครบ","ครบ")</f>
        <v/>
      </c>
      <c r="K73" s="8">
        <f>IF(OR(F73="",G73=""),"ไม่ผ่าน",IF(H73&gt;=90,"ผ่าน","ไม่ผ่าน"))</f>
        <v/>
      </c>
      <c r="L73" s="8">
        <f>IF(K73="ผ่าน",1,0)</f>
        <v/>
      </c>
      <c r="N73" s="7" t="n"/>
    </row>
    <row r="74">
      <c r="F74" s="7" t="n"/>
      <c r="G74" s="7" t="n"/>
      <c r="H74" s="8">
        <f>IF(OR(F74="",G74=""),"",MAX(0,ROUND((G74-F74)*1440,0)))</f>
        <v/>
      </c>
      <c r="I74" s="8">
        <f>IF(F74="","ไม่ครบ","ครบ")</f>
        <v/>
      </c>
      <c r="J74" s="8">
        <f>IF(G74="","ไม่ครบ","ครบ")</f>
        <v/>
      </c>
      <c r="K74" s="8">
        <f>IF(OR(F74="",G74=""),"ไม่ผ่าน",IF(H74&gt;=90,"ผ่าน","ไม่ผ่าน"))</f>
        <v/>
      </c>
      <c r="L74" s="8">
        <f>IF(K74="ผ่าน",1,0)</f>
        <v/>
      </c>
      <c r="N74" s="7" t="n"/>
    </row>
    <row r="75">
      <c r="F75" s="7" t="n"/>
      <c r="G75" s="7" t="n"/>
      <c r="H75" s="8">
        <f>IF(OR(F75="",G75=""),"",MAX(0,ROUND((G75-F75)*1440,0)))</f>
        <v/>
      </c>
      <c r="I75" s="8">
        <f>IF(F75="","ไม่ครบ","ครบ")</f>
        <v/>
      </c>
      <c r="J75" s="8">
        <f>IF(G75="","ไม่ครบ","ครบ")</f>
        <v/>
      </c>
      <c r="K75" s="8">
        <f>IF(OR(F75="",G75=""),"ไม่ผ่าน",IF(H75&gt;=90,"ผ่าน","ไม่ผ่าน"))</f>
        <v/>
      </c>
      <c r="L75" s="8">
        <f>IF(K75="ผ่าน",1,0)</f>
        <v/>
      </c>
      <c r="N75" s="7" t="n"/>
    </row>
    <row r="76">
      <c r="F76" s="7" t="n"/>
      <c r="G76" s="7" t="n"/>
      <c r="H76" s="8">
        <f>IF(OR(F76="",G76=""),"",MAX(0,ROUND((G76-F76)*1440,0)))</f>
        <v/>
      </c>
      <c r="I76" s="8">
        <f>IF(F76="","ไม่ครบ","ครบ")</f>
        <v/>
      </c>
      <c r="J76" s="8">
        <f>IF(G76="","ไม่ครบ","ครบ")</f>
        <v/>
      </c>
      <c r="K76" s="8">
        <f>IF(OR(F76="",G76=""),"ไม่ผ่าน",IF(H76&gt;=90,"ผ่าน","ไม่ผ่าน"))</f>
        <v/>
      </c>
      <c r="L76" s="8">
        <f>IF(K76="ผ่าน",1,0)</f>
        <v/>
      </c>
      <c r="N76" s="7" t="n"/>
    </row>
    <row r="77">
      <c r="F77" s="7" t="n"/>
      <c r="G77" s="7" t="n"/>
      <c r="H77" s="8">
        <f>IF(OR(F77="",G77=""),"",MAX(0,ROUND((G77-F77)*1440,0)))</f>
        <v/>
      </c>
      <c r="I77" s="8">
        <f>IF(F77="","ไม่ครบ","ครบ")</f>
        <v/>
      </c>
      <c r="J77" s="8">
        <f>IF(G77="","ไม่ครบ","ครบ")</f>
        <v/>
      </c>
      <c r="K77" s="8">
        <f>IF(OR(F77="",G77=""),"ไม่ผ่าน",IF(H77&gt;=90,"ผ่าน","ไม่ผ่าน"))</f>
        <v/>
      </c>
      <c r="L77" s="8">
        <f>IF(K77="ผ่าน",1,0)</f>
        <v/>
      </c>
      <c r="N77" s="7" t="n"/>
    </row>
    <row r="78">
      <c r="F78" s="7" t="n"/>
      <c r="G78" s="7" t="n"/>
      <c r="H78" s="8">
        <f>IF(OR(F78="",G78=""),"",MAX(0,ROUND((G78-F78)*1440,0)))</f>
        <v/>
      </c>
      <c r="I78" s="8">
        <f>IF(F78="","ไม่ครบ","ครบ")</f>
        <v/>
      </c>
      <c r="J78" s="8">
        <f>IF(G78="","ไม่ครบ","ครบ")</f>
        <v/>
      </c>
      <c r="K78" s="8">
        <f>IF(OR(F78="",G78=""),"ไม่ผ่าน",IF(H78&gt;=90,"ผ่าน","ไม่ผ่าน"))</f>
        <v/>
      </c>
      <c r="L78" s="8">
        <f>IF(K78="ผ่าน",1,0)</f>
        <v/>
      </c>
      <c r="N78" s="7" t="n"/>
    </row>
    <row r="79">
      <c r="F79" s="7" t="n"/>
      <c r="G79" s="7" t="n"/>
      <c r="H79" s="8">
        <f>IF(OR(F79="",G79=""),"",MAX(0,ROUND((G79-F79)*1440,0)))</f>
        <v/>
      </c>
      <c r="I79" s="8">
        <f>IF(F79="","ไม่ครบ","ครบ")</f>
        <v/>
      </c>
      <c r="J79" s="8">
        <f>IF(G79="","ไม่ครบ","ครบ")</f>
        <v/>
      </c>
      <c r="K79" s="8">
        <f>IF(OR(F79="",G79=""),"ไม่ผ่าน",IF(H79&gt;=90,"ผ่าน","ไม่ผ่าน"))</f>
        <v/>
      </c>
      <c r="L79" s="8">
        <f>IF(K79="ผ่าน",1,0)</f>
        <v/>
      </c>
      <c r="N79" s="7" t="n"/>
    </row>
    <row r="80">
      <c r="F80" s="7" t="n"/>
      <c r="G80" s="7" t="n"/>
      <c r="H80" s="8">
        <f>IF(OR(F80="",G80=""),"",MAX(0,ROUND((G80-F80)*1440,0)))</f>
        <v/>
      </c>
      <c r="I80" s="8">
        <f>IF(F80="","ไม่ครบ","ครบ")</f>
        <v/>
      </c>
      <c r="J80" s="8">
        <f>IF(G80="","ไม่ครบ","ครบ")</f>
        <v/>
      </c>
      <c r="K80" s="8">
        <f>IF(OR(F80="",G80=""),"ไม่ผ่าน",IF(H80&gt;=90,"ผ่าน","ไม่ผ่าน"))</f>
        <v/>
      </c>
      <c r="L80" s="8">
        <f>IF(K80="ผ่าน",1,0)</f>
        <v/>
      </c>
      <c r="N80" s="7" t="n"/>
    </row>
    <row r="81">
      <c r="F81" s="7" t="n"/>
      <c r="G81" s="7" t="n"/>
      <c r="H81" s="8">
        <f>IF(OR(F81="",G81=""),"",MAX(0,ROUND((G81-F81)*1440,0)))</f>
        <v/>
      </c>
      <c r="I81" s="8">
        <f>IF(F81="","ไม่ครบ","ครบ")</f>
        <v/>
      </c>
      <c r="J81" s="8">
        <f>IF(G81="","ไม่ครบ","ครบ")</f>
        <v/>
      </c>
      <c r="K81" s="8">
        <f>IF(OR(F81="",G81=""),"ไม่ผ่าน",IF(H81&gt;=90,"ผ่าน","ไม่ผ่าน"))</f>
        <v/>
      </c>
      <c r="L81" s="8">
        <f>IF(K81="ผ่าน",1,0)</f>
        <v/>
      </c>
      <c r="N81" s="7" t="n"/>
    </row>
    <row r="82">
      <c r="F82" s="7" t="n"/>
      <c r="G82" s="7" t="n"/>
      <c r="H82" s="8">
        <f>IF(OR(F82="",G82=""),"",MAX(0,ROUND((G82-F82)*1440,0)))</f>
        <v/>
      </c>
      <c r="I82" s="8">
        <f>IF(F82="","ไม่ครบ","ครบ")</f>
        <v/>
      </c>
      <c r="J82" s="8">
        <f>IF(G82="","ไม่ครบ","ครบ")</f>
        <v/>
      </c>
      <c r="K82" s="8">
        <f>IF(OR(F82="",G82=""),"ไม่ผ่าน",IF(H82&gt;=90,"ผ่าน","ไม่ผ่าน"))</f>
        <v/>
      </c>
      <c r="L82" s="8">
        <f>IF(K82="ผ่าน",1,0)</f>
        <v/>
      </c>
      <c r="N82" s="7" t="n"/>
    </row>
    <row r="83">
      <c r="F83" s="7" t="n"/>
      <c r="G83" s="7" t="n"/>
      <c r="H83" s="8">
        <f>IF(OR(F83="",G83=""),"",MAX(0,ROUND((G83-F83)*1440,0)))</f>
        <v/>
      </c>
      <c r="I83" s="8">
        <f>IF(F83="","ไม่ครบ","ครบ")</f>
        <v/>
      </c>
      <c r="J83" s="8">
        <f>IF(G83="","ไม่ครบ","ครบ")</f>
        <v/>
      </c>
      <c r="K83" s="8">
        <f>IF(OR(F83="",G83=""),"ไม่ผ่าน",IF(H83&gt;=90,"ผ่าน","ไม่ผ่าน"))</f>
        <v/>
      </c>
      <c r="L83" s="8">
        <f>IF(K83="ผ่าน",1,0)</f>
        <v/>
      </c>
      <c r="N83" s="7" t="n"/>
    </row>
    <row r="84">
      <c r="F84" s="7" t="n"/>
      <c r="G84" s="7" t="n"/>
      <c r="H84" s="8">
        <f>IF(OR(F84="",G84=""),"",MAX(0,ROUND((G84-F84)*1440,0)))</f>
        <v/>
      </c>
      <c r="I84" s="8">
        <f>IF(F84="","ไม่ครบ","ครบ")</f>
        <v/>
      </c>
      <c r="J84" s="8">
        <f>IF(G84="","ไม่ครบ","ครบ")</f>
        <v/>
      </c>
      <c r="K84" s="8">
        <f>IF(OR(F84="",G84=""),"ไม่ผ่าน",IF(H84&gt;=90,"ผ่าน","ไม่ผ่าน"))</f>
        <v/>
      </c>
      <c r="L84" s="8">
        <f>IF(K84="ผ่าน",1,0)</f>
        <v/>
      </c>
      <c r="N84" s="7" t="n"/>
    </row>
    <row r="85">
      <c r="F85" s="7" t="n"/>
      <c r="G85" s="7" t="n"/>
      <c r="H85" s="8">
        <f>IF(OR(F85="",G85=""),"",MAX(0,ROUND((G85-F85)*1440,0)))</f>
        <v/>
      </c>
      <c r="I85" s="8">
        <f>IF(F85="","ไม่ครบ","ครบ")</f>
        <v/>
      </c>
      <c r="J85" s="8">
        <f>IF(G85="","ไม่ครบ","ครบ")</f>
        <v/>
      </c>
      <c r="K85" s="8">
        <f>IF(OR(F85="",G85=""),"ไม่ผ่าน",IF(H85&gt;=90,"ผ่าน","ไม่ผ่าน"))</f>
        <v/>
      </c>
      <c r="L85" s="8">
        <f>IF(K85="ผ่าน",1,0)</f>
        <v/>
      </c>
      <c r="N85" s="7" t="n"/>
    </row>
    <row r="86">
      <c r="F86" s="7" t="n"/>
      <c r="G86" s="7" t="n"/>
      <c r="H86" s="8">
        <f>IF(OR(F86="",G86=""),"",MAX(0,ROUND((G86-F86)*1440,0)))</f>
        <v/>
      </c>
      <c r="I86" s="8">
        <f>IF(F86="","ไม่ครบ","ครบ")</f>
        <v/>
      </c>
      <c r="J86" s="8">
        <f>IF(G86="","ไม่ครบ","ครบ")</f>
        <v/>
      </c>
      <c r="K86" s="8">
        <f>IF(OR(F86="",G86=""),"ไม่ผ่าน",IF(H86&gt;=90,"ผ่าน","ไม่ผ่าน"))</f>
        <v/>
      </c>
      <c r="L86" s="8">
        <f>IF(K86="ผ่าน",1,0)</f>
        <v/>
      </c>
      <c r="N86" s="7" t="n"/>
    </row>
    <row r="87">
      <c r="F87" s="7" t="n"/>
      <c r="G87" s="7" t="n"/>
      <c r="H87" s="8">
        <f>IF(OR(F87="",G87=""),"",MAX(0,ROUND((G87-F87)*1440,0)))</f>
        <v/>
      </c>
      <c r="I87" s="8">
        <f>IF(F87="","ไม่ครบ","ครบ")</f>
        <v/>
      </c>
      <c r="J87" s="8">
        <f>IF(G87="","ไม่ครบ","ครบ")</f>
        <v/>
      </c>
      <c r="K87" s="8">
        <f>IF(OR(F87="",G87=""),"ไม่ผ่าน",IF(H87&gt;=90,"ผ่าน","ไม่ผ่าน"))</f>
        <v/>
      </c>
      <c r="L87" s="8">
        <f>IF(K87="ผ่าน",1,0)</f>
        <v/>
      </c>
      <c r="N87" s="7" t="n"/>
    </row>
    <row r="88">
      <c r="F88" s="7" t="n"/>
      <c r="G88" s="7" t="n"/>
      <c r="H88" s="8">
        <f>IF(OR(F88="",G88=""),"",MAX(0,ROUND((G88-F88)*1440,0)))</f>
        <v/>
      </c>
      <c r="I88" s="8">
        <f>IF(F88="","ไม่ครบ","ครบ")</f>
        <v/>
      </c>
      <c r="J88" s="8">
        <f>IF(G88="","ไม่ครบ","ครบ")</f>
        <v/>
      </c>
      <c r="K88" s="8">
        <f>IF(OR(F88="",G88=""),"ไม่ผ่าน",IF(H88&gt;=90,"ผ่าน","ไม่ผ่าน"))</f>
        <v/>
      </c>
      <c r="L88" s="8">
        <f>IF(K88="ผ่าน",1,0)</f>
        <v/>
      </c>
      <c r="N88" s="7" t="n"/>
    </row>
    <row r="89">
      <c r="F89" s="7" t="n"/>
      <c r="G89" s="7" t="n"/>
      <c r="H89" s="8">
        <f>IF(OR(F89="",G89=""),"",MAX(0,ROUND((G89-F89)*1440,0)))</f>
        <v/>
      </c>
      <c r="I89" s="8">
        <f>IF(F89="","ไม่ครบ","ครบ")</f>
        <v/>
      </c>
      <c r="J89" s="8">
        <f>IF(G89="","ไม่ครบ","ครบ")</f>
        <v/>
      </c>
      <c r="K89" s="8">
        <f>IF(OR(F89="",G89=""),"ไม่ผ่าน",IF(H89&gt;=90,"ผ่าน","ไม่ผ่าน"))</f>
        <v/>
      </c>
      <c r="L89" s="8">
        <f>IF(K89="ผ่าน",1,0)</f>
        <v/>
      </c>
      <c r="N89" s="7" t="n"/>
    </row>
    <row r="90">
      <c r="F90" s="7" t="n"/>
      <c r="G90" s="7" t="n"/>
      <c r="H90" s="8">
        <f>IF(OR(F90="",G90=""),"",MAX(0,ROUND((G90-F90)*1440,0)))</f>
        <v/>
      </c>
      <c r="I90" s="8">
        <f>IF(F90="","ไม่ครบ","ครบ")</f>
        <v/>
      </c>
      <c r="J90" s="8">
        <f>IF(G90="","ไม่ครบ","ครบ")</f>
        <v/>
      </c>
      <c r="K90" s="8">
        <f>IF(OR(F90="",G90=""),"ไม่ผ่าน",IF(H90&gt;=90,"ผ่าน","ไม่ผ่าน"))</f>
        <v/>
      </c>
      <c r="L90" s="8">
        <f>IF(K90="ผ่าน",1,0)</f>
        <v/>
      </c>
      <c r="N90" s="7" t="n"/>
    </row>
    <row r="91">
      <c r="F91" s="7" t="n"/>
      <c r="G91" s="7" t="n"/>
      <c r="H91" s="8">
        <f>IF(OR(F91="",G91=""),"",MAX(0,ROUND((G91-F91)*1440,0)))</f>
        <v/>
      </c>
      <c r="I91" s="8">
        <f>IF(F91="","ไม่ครบ","ครบ")</f>
        <v/>
      </c>
      <c r="J91" s="8">
        <f>IF(G91="","ไม่ครบ","ครบ")</f>
        <v/>
      </c>
      <c r="K91" s="8">
        <f>IF(OR(F91="",G91=""),"ไม่ผ่าน",IF(H91&gt;=90,"ผ่าน","ไม่ผ่าน"))</f>
        <v/>
      </c>
      <c r="L91" s="8">
        <f>IF(K91="ผ่าน",1,0)</f>
        <v/>
      </c>
      <c r="N91" s="7" t="n"/>
    </row>
    <row r="92">
      <c r="F92" s="7" t="n"/>
      <c r="G92" s="7" t="n"/>
      <c r="H92" s="8">
        <f>IF(OR(F92="",G92=""),"",MAX(0,ROUND((G92-F92)*1440,0)))</f>
        <v/>
      </c>
      <c r="I92" s="8">
        <f>IF(F92="","ไม่ครบ","ครบ")</f>
        <v/>
      </c>
      <c r="J92" s="8">
        <f>IF(G92="","ไม่ครบ","ครบ")</f>
        <v/>
      </c>
      <c r="K92" s="8">
        <f>IF(OR(F92="",G92=""),"ไม่ผ่าน",IF(H92&gt;=90,"ผ่าน","ไม่ผ่าน"))</f>
        <v/>
      </c>
      <c r="L92" s="8">
        <f>IF(K92="ผ่าน",1,0)</f>
        <v/>
      </c>
      <c r="N92" s="7" t="n"/>
    </row>
    <row r="93">
      <c r="F93" s="7" t="n"/>
      <c r="G93" s="7" t="n"/>
      <c r="H93" s="8">
        <f>IF(OR(F93="",G93=""),"",MAX(0,ROUND((G93-F93)*1440,0)))</f>
        <v/>
      </c>
      <c r="I93" s="8">
        <f>IF(F93="","ไม่ครบ","ครบ")</f>
        <v/>
      </c>
      <c r="J93" s="8">
        <f>IF(G93="","ไม่ครบ","ครบ")</f>
        <v/>
      </c>
      <c r="K93" s="8">
        <f>IF(OR(F93="",G93=""),"ไม่ผ่าน",IF(H93&gt;=90,"ผ่าน","ไม่ผ่าน"))</f>
        <v/>
      </c>
      <c r="L93" s="8">
        <f>IF(K93="ผ่าน",1,0)</f>
        <v/>
      </c>
      <c r="N93" s="7" t="n"/>
    </row>
    <row r="94">
      <c r="F94" s="7" t="n"/>
      <c r="G94" s="7" t="n"/>
      <c r="H94" s="8">
        <f>IF(OR(F94="",G94=""),"",MAX(0,ROUND((G94-F94)*1440,0)))</f>
        <v/>
      </c>
      <c r="I94" s="8">
        <f>IF(F94="","ไม่ครบ","ครบ")</f>
        <v/>
      </c>
      <c r="J94" s="8">
        <f>IF(G94="","ไม่ครบ","ครบ")</f>
        <v/>
      </c>
      <c r="K94" s="8">
        <f>IF(OR(F94="",G94=""),"ไม่ผ่าน",IF(H94&gt;=90,"ผ่าน","ไม่ผ่าน"))</f>
        <v/>
      </c>
      <c r="L94" s="8">
        <f>IF(K94="ผ่าน",1,0)</f>
        <v/>
      </c>
      <c r="N94" s="7" t="n"/>
    </row>
    <row r="95">
      <c r="F95" s="7" t="n"/>
      <c r="G95" s="7" t="n"/>
      <c r="H95" s="8">
        <f>IF(OR(F95="",G95=""),"",MAX(0,ROUND((G95-F95)*1440,0)))</f>
        <v/>
      </c>
      <c r="I95" s="8">
        <f>IF(F95="","ไม่ครบ","ครบ")</f>
        <v/>
      </c>
      <c r="J95" s="8">
        <f>IF(G95="","ไม่ครบ","ครบ")</f>
        <v/>
      </c>
      <c r="K95" s="8">
        <f>IF(OR(F95="",G95=""),"ไม่ผ่าน",IF(H95&gt;=90,"ผ่าน","ไม่ผ่าน"))</f>
        <v/>
      </c>
      <c r="L95" s="8">
        <f>IF(K95="ผ่าน",1,0)</f>
        <v/>
      </c>
      <c r="N95" s="7" t="n"/>
    </row>
    <row r="96">
      <c r="F96" s="7" t="n"/>
      <c r="G96" s="7" t="n"/>
      <c r="H96" s="8">
        <f>IF(OR(F96="",G96=""),"",MAX(0,ROUND((G96-F96)*1440,0)))</f>
        <v/>
      </c>
      <c r="I96" s="8">
        <f>IF(F96="","ไม่ครบ","ครบ")</f>
        <v/>
      </c>
      <c r="J96" s="8">
        <f>IF(G96="","ไม่ครบ","ครบ")</f>
        <v/>
      </c>
      <c r="K96" s="8">
        <f>IF(OR(F96="",G96=""),"ไม่ผ่าน",IF(H96&gt;=90,"ผ่าน","ไม่ผ่าน"))</f>
        <v/>
      </c>
      <c r="L96" s="8">
        <f>IF(K96="ผ่าน",1,0)</f>
        <v/>
      </c>
      <c r="N96" s="7" t="n"/>
    </row>
    <row r="97">
      <c r="F97" s="7" t="n"/>
      <c r="G97" s="7" t="n"/>
      <c r="H97" s="8">
        <f>IF(OR(F97="",G97=""),"",MAX(0,ROUND((G97-F97)*1440,0)))</f>
        <v/>
      </c>
      <c r="I97" s="8">
        <f>IF(F97="","ไม่ครบ","ครบ")</f>
        <v/>
      </c>
      <c r="J97" s="8">
        <f>IF(G97="","ไม่ครบ","ครบ")</f>
        <v/>
      </c>
      <c r="K97" s="8">
        <f>IF(OR(F97="",G97=""),"ไม่ผ่าน",IF(H97&gt;=90,"ผ่าน","ไม่ผ่าน"))</f>
        <v/>
      </c>
      <c r="L97" s="8">
        <f>IF(K97="ผ่าน",1,0)</f>
        <v/>
      </c>
      <c r="N97" s="7" t="n"/>
    </row>
    <row r="98">
      <c r="F98" s="7" t="n"/>
      <c r="G98" s="7" t="n"/>
      <c r="H98" s="8">
        <f>IF(OR(F98="",G98=""),"",MAX(0,ROUND((G98-F98)*1440,0)))</f>
        <v/>
      </c>
      <c r="I98" s="8">
        <f>IF(F98="","ไม่ครบ","ครบ")</f>
        <v/>
      </c>
      <c r="J98" s="8">
        <f>IF(G98="","ไม่ครบ","ครบ")</f>
        <v/>
      </c>
      <c r="K98" s="8">
        <f>IF(OR(F98="",G98=""),"ไม่ผ่าน",IF(H98&gt;=90,"ผ่าน","ไม่ผ่าน"))</f>
        <v/>
      </c>
      <c r="L98" s="8">
        <f>IF(K98="ผ่าน",1,0)</f>
        <v/>
      </c>
      <c r="N98" s="7" t="n"/>
    </row>
    <row r="99">
      <c r="F99" s="7" t="n"/>
      <c r="G99" s="7" t="n"/>
      <c r="H99" s="8">
        <f>IF(OR(F99="",G99=""),"",MAX(0,ROUND((G99-F99)*1440,0)))</f>
        <v/>
      </c>
      <c r="I99" s="8">
        <f>IF(F99="","ไม่ครบ","ครบ")</f>
        <v/>
      </c>
      <c r="J99" s="8">
        <f>IF(G99="","ไม่ครบ","ครบ")</f>
        <v/>
      </c>
      <c r="K99" s="8">
        <f>IF(OR(F99="",G99=""),"ไม่ผ่าน",IF(H99&gt;=90,"ผ่าน","ไม่ผ่าน"))</f>
        <v/>
      </c>
      <c r="L99" s="8">
        <f>IF(K99="ผ่าน",1,0)</f>
        <v/>
      </c>
      <c r="N99" s="7" t="n"/>
    </row>
    <row r="100">
      <c r="F100" s="7" t="n"/>
      <c r="G100" s="7" t="n"/>
      <c r="H100" s="8">
        <f>IF(OR(F100="",G100=""),"",MAX(0,ROUND((G100-F100)*1440,0)))</f>
        <v/>
      </c>
      <c r="I100" s="8">
        <f>IF(F100="","ไม่ครบ","ครบ")</f>
        <v/>
      </c>
      <c r="J100" s="8">
        <f>IF(G100="","ไม่ครบ","ครบ")</f>
        <v/>
      </c>
      <c r="K100" s="8">
        <f>IF(OR(F100="",G100=""),"ไม่ผ่าน",IF(H100&gt;=90,"ผ่าน","ไม่ผ่าน"))</f>
        <v/>
      </c>
      <c r="L100" s="8">
        <f>IF(K100="ผ่าน",1,0)</f>
        <v/>
      </c>
      <c r="N100" s="7" t="n"/>
    </row>
    <row r="101">
      <c r="F101" s="7" t="n"/>
      <c r="G101" s="7" t="n"/>
      <c r="H101" s="8">
        <f>IF(OR(F101="",G101=""),"",MAX(0,ROUND((G101-F101)*1440,0)))</f>
        <v/>
      </c>
      <c r="I101" s="8">
        <f>IF(F101="","ไม่ครบ","ครบ")</f>
        <v/>
      </c>
      <c r="J101" s="8">
        <f>IF(G101="","ไม่ครบ","ครบ")</f>
        <v/>
      </c>
      <c r="K101" s="8">
        <f>IF(OR(F101="",G101=""),"ไม่ผ่าน",IF(H101&gt;=90,"ผ่าน","ไม่ผ่าน"))</f>
        <v/>
      </c>
      <c r="L101" s="8">
        <f>IF(K101="ผ่าน",1,0)</f>
        <v/>
      </c>
      <c r="N101" s="7" t="n"/>
    </row>
    <row r="102">
      <c r="F102" s="7" t="n"/>
      <c r="G102" s="7" t="n"/>
      <c r="H102" s="8">
        <f>IF(OR(F102="",G102=""),"",MAX(0,ROUND((G102-F102)*1440,0)))</f>
        <v/>
      </c>
      <c r="I102" s="8">
        <f>IF(F102="","ไม่ครบ","ครบ")</f>
        <v/>
      </c>
      <c r="J102" s="8">
        <f>IF(G102="","ไม่ครบ","ครบ")</f>
        <v/>
      </c>
      <c r="K102" s="8">
        <f>IF(OR(F102="",G102=""),"ไม่ผ่าน",IF(H102&gt;=90,"ผ่าน","ไม่ผ่าน"))</f>
        <v/>
      </c>
      <c r="L102" s="8">
        <f>IF(K102="ผ่าน",1,0)</f>
        <v/>
      </c>
      <c r="N102" s="7" t="n"/>
    </row>
    <row r="103">
      <c r="F103" s="7" t="n"/>
      <c r="G103" s="7" t="n"/>
      <c r="H103" s="8">
        <f>IF(OR(F103="",G103=""),"",MAX(0,ROUND((G103-F103)*1440,0)))</f>
        <v/>
      </c>
      <c r="I103" s="8">
        <f>IF(F103="","ไม่ครบ","ครบ")</f>
        <v/>
      </c>
      <c r="J103" s="8">
        <f>IF(G103="","ไม่ครบ","ครบ")</f>
        <v/>
      </c>
      <c r="K103" s="8">
        <f>IF(OR(F103="",G103=""),"ไม่ผ่าน",IF(H103&gt;=90,"ผ่าน","ไม่ผ่าน"))</f>
        <v/>
      </c>
      <c r="L103" s="8">
        <f>IF(K103="ผ่าน",1,0)</f>
        <v/>
      </c>
      <c r="N103" s="7" t="n"/>
    </row>
    <row r="104">
      <c r="F104" s="7" t="n"/>
      <c r="G104" s="7" t="n"/>
      <c r="H104" s="8">
        <f>IF(OR(F104="",G104=""),"",MAX(0,ROUND((G104-F104)*1440,0)))</f>
        <v/>
      </c>
      <c r="I104" s="8">
        <f>IF(F104="","ไม่ครบ","ครบ")</f>
        <v/>
      </c>
      <c r="J104" s="8">
        <f>IF(G104="","ไม่ครบ","ครบ")</f>
        <v/>
      </c>
      <c r="K104" s="8">
        <f>IF(OR(F104="",G104=""),"ไม่ผ่าน",IF(H104&gt;=90,"ผ่าน","ไม่ผ่าน"))</f>
        <v/>
      </c>
      <c r="L104" s="8">
        <f>IF(K104="ผ่าน",1,0)</f>
        <v/>
      </c>
      <c r="N104" s="7" t="n"/>
    </row>
    <row r="105">
      <c r="F105" s="7" t="n"/>
      <c r="G105" s="7" t="n"/>
      <c r="H105" s="8">
        <f>IF(OR(F105="",G105=""),"",MAX(0,ROUND((G105-F105)*1440,0)))</f>
        <v/>
      </c>
      <c r="I105" s="8">
        <f>IF(F105="","ไม่ครบ","ครบ")</f>
        <v/>
      </c>
      <c r="J105" s="8">
        <f>IF(G105="","ไม่ครบ","ครบ")</f>
        <v/>
      </c>
      <c r="K105" s="8">
        <f>IF(OR(F105="",G105=""),"ไม่ผ่าน",IF(H105&gt;=90,"ผ่าน","ไม่ผ่าน"))</f>
        <v/>
      </c>
      <c r="L105" s="8">
        <f>IF(K105="ผ่าน",1,0)</f>
        <v/>
      </c>
      <c r="N105" s="7" t="n"/>
    </row>
    <row r="106">
      <c r="F106" s="7" t="n"/>
      <c r="G106" s="7" t="n"/>
      <c r="H106" s="8">
        <f>IF(OR(F106="",G106=""),"",MAX(0,ROUND((G106-F106)*1440,0)))</f>
        <v/>
      </c>
      <c r="I106" s="8">
        <f>IF(F106="","ไม่ครบ","ครบ")</f>
        <v/>
      </c>
      <c r="J106" s="8">
        <f>IF(G106="","ไม่ครบ","ครบ")</f>
        <v/>
      </c>
      <c r="K106" s="8">
        <f>IF(OR(F106="",G106=""),"ไม่ผ่าน",IF(H106&gt;=90,"ผ่าน","ไม่ผ่าน"))</f>
        <v/>
      </c>
      <c r="L106" s="8">
        <f>IF(K106="ผ่าน",1,0)</f>
        <v/>
      </c>
      <c r="N106" s="7" t="n"/>
    </row>
    <row r="107">
      <c r="F107" s="7" t="n"/>
      <c r="G107" s="7" t="n"/>
      <c r="H107" s="8">
        <f>IF(OR(F107="",G107=""),"",MAX(0,ROUND((G107-F107)*1440,0)))</f>
        <v/>
      </c>
      <c r="I107" s="8">
        <f>IF(F107="","ไม่ครบ","ครบ")</f>
        <v/>
      </c>
      <c r="J107" s="8">
        <f>IF(G107="","ไม่ครบ","ครบ")</f>
        <v/>
      </c>
      <c r="K107" s="8">
        <f>IF(OR(F107="",G107=""),"ไม่ผ่าน",IF(H107&gt;=90,"ผ่าน","ไม่ผ่าน"))</f>
        <v/>
      </c>
      <c r="L107" s="8">
        <f>IF(K107="ผ่าน",1,0)</f>
        <v/>
      </c>
      <c r="N107" s="7" t="n"/>
    </row>
    <row r="108">
      <c r="F108" s="7" t="n"/>
      <c r="G108" s="7" t="n"/>
      <c r="H108" s="8">
        <f>IF(OR(F108="",G108=""),"",MAX(0,ROUND((G108-F108)*1440,0)))</f>
        <v/>
      </c>
      <c r="I108" s="8">
        <f>IF(F108="","ไม่ครบ","ครบ")</f>
        <v/>
      </c>
      <c r="J108" s="8">
        <f>IF(G108="","ไม่ครบ","ครบ")</f>
        <v/>
      </c>
      <c r="K108" s="8">
        <f>IF(OR(F108="",G108=""),"ไม่ผ่าน",IF(H108&gt;=90,"ผ่าน","ไม่ผ่าน"))</f>
        <v/>
      </c>
      <c r="L108" s="8">
        <f>IF(K108="ผ่าน",1,0)</f>
        <v/>
      </c>
      <c r="N108" s="7" t="n"/>
    </row>
    <row r="109">
      <c r="F109" s="7" t="n"/>
      <c r="G109" s="7" t="n"/>
      <c r="H109" s="8">
        <f>IF(OR(F109="",G109=""),"",MAX(0,ROUND((G109-F109)*1440,0)))</f>
        <v/>
      </c>
      <c r="I109" s="8">
        <f>IF(F109="","ไม่ครบ","ครบ")</f>
        <v/>
      </c>
      <c r="J109" s="8">
        <f>IF(G109="","ไม่ครบ","ครบ")</f>
        <v/>
      </c>
      <c r="K109" s="8">
        <f>IF(OR(F109="",G109=""),"ไม่ผ่าน",IF(H109&gt;=90,"ผ่าน","ไม่ผ่าน"))</f>
        <v/>
      </c>
      <c r="L109" s="8">
        <f>IF(K109="ผ่าน",1,0)</f>
        <v/>
      </c>
      <c r="N109" s="7" t="n"/>
    </row>
    <row r="110">
      <c r="F110" s="7" t="n"/>
      <c r="G110" s="7" t="n"/>
      <c r="H110" s="8">
        <f>IF(OR(F110="",G110=""),"",MAX(0,ROUND((G110-F110)*1440,0)))</f>
        <v/>
      </c>
      <c r="I110" s="8">
        <f>IF(F110="","ไม่ครบ","ครบ")</f>
        <v/>
      </c>
      <c r="J110" s="8">
        <f>IF(G110="","ไม่ครบ","ครบ")</f>
        <v/>
      </c>
      <c r="K110" s="8">
        <f>IF(OR(F110="",G110=""),"ไม่ผ่าน",IF(H110&gt;=90,"ผ่าน","ไม่ผ่าน"))</f>
        <v/>
      </c>
      <c r="L110" s="8">
        <f>IF(K110="ผ่าน",1,0)</f>
        <v/>
      </c>
      <c r="N110" s="7" t="n"/>
    </row>
    <row r="111">
      <c r="F111" s="7" t="n"/>
      <c r="G111" s="7" t="n"/>
      <c r="H111" s="8">
        <f>IF(OR(F111="",G111=""),"",MAX(0,ROUND((G111-F111)*1440,0)))</f>
        <v/>
      </c>
      <c r="I111" s="8">
        <f>IF(F111="","ไม่ครบ","ครบ")</f>
        <v/>
      </c>
      <c r="J111" s="8">
        <f>IF(G111="","ไม่ครบ","ครบ")</f>
        <v/>
      </c>
      <c r="K111" s="8">
        <f>IF(OR(F111="",G111=""),"ไม่ผ่าน",IF(H111&gt;=90,"ผ่าน","ไม่ผ่าน"))</f>
        <v/>
      </c>
      <c r="L111" s="8">
        <f>IF(K111="ผ่าน",1,0)</f>
        <v/>
      </c>
      <c r="N111" s="7" t="n"/>
    </row>
    <row r="112">
      <c r="F112" s="7" t="n"/>
      <c r="G112" s="7" t="n"/>
      <c r="H112" s="8">
        <f>IF(OR(F112="",G112=""),"",MAX(0,ROUND((G112-F112)*1440,0)))</f>
        <v/>
      </c>
      <c r="I112" s="8">
        <f>IF(F112="","ไม่ครบ","ครบ")</f>
        <v/>
      </c>
      <c r="J112" s="8">
        <f>IF(G112="","ไม่ครบ","ครบ")</f>
        <v/>
      </c>
      <c r="K112" s="8">
        <f>IF(OR(F112="",G112=""),"ไม่ผ่าน",IF(H112&gt;=90,"ผ่าน","ไม่ผ่าน"))</f>
        <v/>
      </c>
      <c r="L112" s="8">
        <f>IF(K112="ผ่าน",1,0)</f>
        <v/>
      </c>
      <c r="N112" s="7" t="n"/>
    </row>
    <row r="113">
      <c r="F113" s="7" t="n"/>
      <c r="G113" s="7" t="n"/>
      <c r="H113" s="8">
        <f>IF(OR(F113="",G113=""),"",MAX(0,ROUND((G113-F113)*1440,0)))</f>
        <v/>
      </c>
      <c r="I113" s="8">
        <f>IF(F113="","ไม่ครบ","ครบ")</f>
        <v/>
      </c>
      <c r="J113" s="8">
        <f>IF(G113="","ไม่ครบ","ครบ")</f>
        <v/>
      </c>
      <c r="K113" s="8">
        <f>IF(OR(F113="",G113=""),"ไม่ผ่าน",IF(H113&gt;=90,"ผ่าน","ไม่ผ่าน"))</f>
        <v/>
      </c>
      <c r="L113" s="8">
        <f>IF(K113="ผ่าน",1,0)</f>
        <v/>
      </c>
      <c r="N113" s="7" t="n"/>
    </row>
    <row r="114">
      <c r="F114" s="7" t="n"/>
      <c r="G114" s="7" t="n"/>
      <c r="H114" s="8">
        <f>IF(OR(F114="",G114=""),"",MAX(0,ROUND((G114-F114)*1440,0)))</f>
        <v/>
      </c>
      <c r="I114" s="8">
        <f>IF(F114="","ไม่ครบ","ครบ")</f>
        <v/>
      </c>
      <c r="J114" s="8">
        <f>IF(G114="","ไม่ครบ","ครบ")</f>
        <v/>
      </c>
      <c r="K114" s="8">
        <f>IF(OR(F114="",G114=""),"ไม่ผ่าน",IF(H114&gt;=90,"ผ่าน","ไม่ผ่าน"))</f>
        <v/>
      </c>
      <c r="L114" s="8">
        <f>IF(K114="ผ่าน",1,0)</f>
        <v/>
      </c>
      <c r="N114" s="7" t="n"/>
    </row>
    <row r="115">
      <c r="F115" s="7" t="n"/>
      <c r="G115" s="7" t="n"/>
      <c r="H115" s="8">
        <f>IF(OR(F115="",G115=""),"",MAX(0,ROUND((G115-F115)*1440,0)))</f>
        <v/>
      </c>
      <c r="I115" s="8">
        <f>IF(F115="","ไม่ครบ","ครบ")</f>
        <v/>
      </c>
      <c r="J115" s="8">
        <f>IF(G115="","ไม่ครบ","ครบ")</f>
        <v/>
      </c>
      <c r="K115" s="8">
        <f>IF(OR(F115="",G115=""),"ไม่ผ่าน",IF(H115&gt;=90,"ผ่าน","ไม่ผ่าน"))</f>
        <v/>
      </c>
      <c r="L115" s="8">
        <f>IF(K115="ผ่าน",1,0)</f>
        <v/>
      </c>
      <c r="N115" s="7" t="n"/>
    </row>
    <row r="116">
      <c r="F116" s="7" t="n"/>
      <c r="G116" s="7" t="n"/>
      <c r="H116" s="8">
        <f>IF(OR(F116="",G116=""),"",MAX(0,ROUND((G116-F116)*1440,0)))</f>
        <v/>
      </c>
      <c r="I116" s="8">
        <f>IF(F116="","ไม่ครบ","ครบ")</f>
        <v/>
      </c>
      <c r="J116" s="8">
        <f>IF(G116="","ไม่ครบ","ครบ")</f>
        <v/>
      </c>
      <c r="K116" s="8">
        <f>IF(OR(F116="",G116=""),"ไม่ผ่าน",IF(H116&gt;=90,"ผ่าน","ไม่ผ่าน"))</f>
        <v/>
      </c>
      <c r="L116" s="8">
        <f>IF(K116="ผ่าน",1,0)</f>
        <v/>
      </c>
      <c r="N116" s="7" t="n"/>
    </row>
    <row r="117">
      <c r="F117" s="7" t="n"/>
      <c r="G117" s="7" t="n"/>
      <c r="H117" s="8">
        <f>IF(OR(F117="",G117=""),"",MAX(0,ROUND((G117-F117)*1440,0)))</f>
        <v/>
      </c>
      <c r="I117" s="8">
        <f>IF(F117="","ไม่ครบ","ครบ")</f>
        <v/>
      </c>
      <c r="J117" s="8">
        <f>IF(G117="","ไม่ครบ","ครบ")</f>
        <v/>
      </c>
      <c r="K117" s="8">
        <f>IF(OR(F117="",G117=""),"ไม่ผ่าน",IF(H117&gt;=90,"ผ่าน","ไม่ผ่าน"))</f>
        <v/>
      </c>
      <c r="L117" s="8">
        <f>IF(K117="ผ่าน",1,0)</f>
        <v/>
      </c>
      <c r="N117" s="7" t="n"/>
    </row>
    <row r="118">
      <c r="F118" s="7" t="n"/>
      <c r="G118" s="7" t="n"/>
      <c r="H118" s="8">
        <f>IF(OR(F118="",G118=""),"",MAX(0,ROUND((G118-F118)*1440,0)))</f>
        <v/>
      </c>
      <c r="I118" s="8">
        <f>IF(F118="","ไม่ครบ","ครบ")</f>
        <v/>
      </c>
      <c r="J118" s="8">
        <f>IF(G118="","ไม่ครบ","ครบ")</f>
        <v/>
      </c>
      <c r="K118" s="8">
        <f>IF(OR(F118="",G118=""),"ไม่ผ่าน",IF(H118&gt;=90,"ผ่าน","ไม่ผ่าน"))</f>
        <v/>
      </c>
      <c r="L118" s="8">
        <f>IF(K118="ผ่าน",1,0)</f>
        <v/>
      </c>
      <c r="N118" s="7" t="n"/>
    </row>
    <row r="119">
      <c r="F119" s="7" t="n"/>
      <c r="G119" s="7" t="n"/>
      <c r="H119" s="8">
        <f>IF(OR(F119="",G119=""),"",MAX(0,ROUND((G119-F119)*1440,0)))</f>
        <v/>
      </c>
      <c r="I119" s="8">
        <f>IF(F119="","ไม่ครบ","ครบ")</f>
        <v/>
      </c>
      <c r="J119" s="8">
        <f>IF(G119="","ไม่ครบ","ครบ")</f>
        <v/>
      </c>
      <c r="K119" s="8">
        <f>IF(OR(F119="",G119=""),"ไม่ผ่าน",IF(H119&gt;=90,"ผ่าน","ไม่ผ่าน"))</f>
        <v/>
      </c>
      <c r="L119" s="8">
        <f>IF(K119="ผ่าน",1,0)</f>
        <v/>
      </c>
      <c r="N119" s="7" t="n"/>
    </row>
    <row r="120">
      <c r="F120" s="7" t="n"/>
      <c r="G120" s="7" t="n"/>
      <c r="H120" s="8">
        <f>IF(OR(F120="",G120=""),"",MAX(0,ROUND((G120-F120)*1440,0)))</f>
        <v/>
      </c>
      <c r="I120" s="8">
        <f>IF(F120="","ไม่ครบ","ครบ")</f>
        <v/>
      </c>
      <c r="J120" s="8">
        <f>IF(G120="","ไม่ครบ","ครบ")</f>
        <v/>
      </c>
      <c r="K120" s="8">
        <f>IF(OR(F120="",G120=""),"ไม่ผ่าน",IF(H120&gt;=90,"ผ่าน","ไม่ผ่าน"))</f>
        <v/>
      </c>
      <c r="L120" s="8">
        <f>IF(K120="ผ่าน",1,0)</f>
        <v/>
      </c>
      <c r="N120" s="7" t="n"/>
    </row>
    <row r="121">
      <c r="F121" s="7" t="n"/>
      <c r="G121" s="7" t="n"/>
      <c r="H121" s="8">
        <f>IF(OR(F121="",G121=""),"",MAX(0,ROUND((G121-F121)*1440,0)))</f>
        <v/>
      </c>
      <c r="I121" s="8">
        <f>IF(F121="","ไม่ครบ","ครบ")</f>
        <v/>
      </c>
      <c r="J121" s="8">
        <f>IF(G121="","ไม่ครบ","ครบ")</f>
        <v/>
      </c>
      <c r="K121" s="8">
        <f>IF(OR(F121="",G121=""),"ไม่ผ่าน",IF(H121&gt;=90,"ผ่าน","ไม่ผ่าน"))</f>
        <v/>
      </c>
      <c r="L121" s="8">
        <f>IF(K121="ผ่าน",1,0)</f>
        <v/>
      </c>
      <c r="N121" s="7" t="n"/>
    </row>
    <row r="122">
      <c r="F122" s="7" t="n"/>
      <c r="G122" s="7" t="n"/>
      <c r="H122" s="8">
        <f>IF(OR(F122="",G122=""),"",MAX(0,ROUND((G122-F122)*1440,0)))</f>
        <v/>
      </c>
      <c r="I122" s="8">
        <f>IF(F122="","ไม่ครบ","ครบ")</f>
        <v/>
      </c>
      <c r="J122" s="8">
        <f>IF(G122="","ไม่ครบ","ครบ")</f>
        <v/>
      </c>
      <c r="K122" s="8">
        <f>IF(OR(F122="",G122=""),"ไม่ผ่าน",IF(H122&gt;=90,"ผ่าน","ไม่ผ่าน"))</f>
        <v/>
      </c>
      <c r="L122" s="8">
        <f>IF(K122="ผ่าน",1,0)</f>
        <v/>
      </c>
      <c r="N122" s="7" t="n"/>
    </row>
    <row r="123">
      <c r="F123" s="7" t="n"/>
      <c r="G123" s="7" t="n"/>
      <c r="H123" s="8">
        <f>IF(OR(F123="",G123=""),"",MAX(0,ROUND((G123-F123)*1440,0)))</f>
        <v/>
      </c>
      <c r="I123" s="8">
        <f>IF(F123="","ไม่ครบ","ครบ")</f>
        <v/>
      </c>
      <c r="J123" s="8">
        <f>IF(G123="","ไม่ครบ","ครบ")</f>
        <v/>
      </c>
      <c r="K123" s="8">
        <f>IF(OR(F123="",G123=""),"ไม่ผ่าน",IF(H123&gt;=90,"ผ่าน","ไม่ผ่าน"))</f>
        <v/>
      </c>
      <c r="L123" s="8">
        <f>IF(K123="ผ่าน",1,0)</f>
        <v/>
      </c>
      <c r="N123" s="7" t="n"/>
    </row>
    <row r="124">
      <c r="F124" s="7" t="n"/>
      <c r="G124" s="7" t="n"/>
      <c r="H124" s="8">
        <f>IF(OR(F124="",G124=""),"",MAX(0,ROUND((G124-F124)*1440,0)))</f>
        <v/>
      </c>
      <c r="I124" s="8">
        <f>IF(F124="","ไม่ครบ","ครบ")</f>
        <v/>
      </c>
      <c r="J124" s="8">
        <f>IF(G124="","ไม่ครบ","ครบ")</f>
        <v/>
      </c>
      <c r="K124" s="8">
        <f>IF(OR(F124="",G124=""),"ไม่ผ่าน",IF(H124&gt;=90,"ผ่าน","ไม่ผ่าน"))</f>
        <v/>
      </c>
      <c r="L124" s="8">
        <f>IF(K124="ผ่าน",1,0)</f>
        <v/>
      </c>
      <c r="N124" s="7" t="n"/>
    </row>
    <row r="125">
      <c r="F125" s="7" t="n"/>
      <c r="G125" s="7" t="n"/>
      <c r="H125" s="8">
        <f>IF(OR(F125="",G125=""),"",MAX(0,ROUND((G125-F125)*1440,0)))</f>
        <v/>
      </c>
      <c r="I125" s="8">
        <f>IF(F125="","ไม่ครบ","ครบ")</f>
        <v/>
      </c>
      <c r="J125" s="8">
        <f>IF(G125="","ไม่ครบ","ครบ")</f>
        <v/>
      </c>
      <c r="K125" s="8">
        <f>IF(OR(F125="",G125=""),"ไม่ผ่าน",IF(H125&gt;=90,"ผ่าน","ไม่ผ่าน"))</f>
        <v/>
      </c>
      <c r="L125" s="8">
        <f>IF(K125="ผ่าน",1,0)</f>
        <v/>
      </c>
      <c r="N125" s="7" t="n"/>
    </row>
    <row r="126">
      <c r="F126" s="7" t="n"/>
      <c r="G126" s="7" t="n"/>
      <c r="H126" s="8">
        <f>IF(OR(F126="",G126=""),"",MAX(0,ROUND((G126-F126)*1440,0)))</f>
        <v/>
      </c>
      <c r="I126" s="8">
        <f>IF(F126="","ไม่ครบ","ครบ")</f>
        <v/>
      </c>
      <c r="J126" s="8">
        <f>IF(G126="","ไม่ครบ","ครบ")</f>
        <v/>
      </c>
      <c r="K126" s="8">
        <f>IF(OR(F126="",G126=""),"ไม่ผ่าน",IF(H126&gt;=90,"ผ่าน","ไม่ผ่าน"))</f>
        <v/>
      </c>
      <c r="L126" s="8">
        <f>IF(K126="ผ่าน",1,0)</f>
        <v/>
      </c>
      <c r="N126" s="7" t="n"/>
    </row>
    <row r="127">
      <c r="F127" s="7" t="n"/>
      <c r="G127" s="7" t="n"/>
      <c r="H127" s="8">
        <f>IF(OR(F127="",G127=""),"",MAX(0,ROUND((G127-F127)*1440,0)))</f>
        <v/>
      </c>
      <c r="I127" s="8">
        <f>IF(F127="","ไม่ครบ","ครบ")</f>
        <v/>
      </c>
      <c r="J127" s="8">
        <f>IF(G127="","ไม่ครบ","ครบ")</f>
        <v/>
      </c>
      <c r="K127" s="8">
        <f>IF(OR(F127="",G127=""),"ไม่ผ่าน",IF(H127&gt;=90,"ผ่าน","ไม่ผ่าน"))</f>
        <v/>
      </c>
      <c r="L127" s="8">
        <f>IF(K127="ผ่าน",1,0)</f>
        <v/>
      </c>
      <c r="N127" s="7" t="n"/>
    </row>
    <row r="128">
      <c r="F128" s="7" t="n"/>
      <c r="G128" s="7" t="n"/>
      <c r="H128" s="8">
        <f>IF(OR(F128="",G128=""),"",MAX(0,ROUND((G128-F128)*1440,0)))</f>
        <v/>
      </c>
      <c r="I128" s="8">
        <f>IF(F128="","ไม่ครบ","ครบ")</f>
        <v/>
      </c>
      <c r="J128" s="8">
        <f>IF(G128="","ไม่ครบ","ครบ")</f>
        <v/>
      </c>
      <c r="K128" s="8">
        <f>IF(OR(F128="",G128=""),"ไม่ผ่าน",IF(H128&gt;=90,"ผ่าน","ไม่ผ่าน"))</f>
        <v/>
      </c>
      <c r="L128" s="8">
        <f>IF(K128="ผ่าน",1,0)</f>
        <v/>
      </c>
      <c r="N128" s="7" t="n"/>
    </row>
    <row r="129">
      <c r="F129" s="7" t="n"/>
      <c r="G129" s="7" t="n"/>
      <c r="H129" s="8">
        <f>IF(OR(F129="",G129=""),"",MAX(0,ROUND((G129-F129)*1440,0)))</f>
        <v/>
      </c>
      <c r="I129" s="8">
        <f>IF(F129="","ไม่ครบ","ครบ")</f>
        <v/>
      </c>
      <c r="J129" s="8">
        <f>IF(G129="","ไม่ครบ","ครบ")</f>
        <v/>
      </c>
      <c r="K129" s="8">
        <f>IF(OR(F129="",G129=""),"ไม่ผ่าน",IF(H129&gt;=90,"ผ่าน","ไม่ผ่าน"))</f>
        <v/>
      </c>
      <c r="L129" s="8">
        <f>IF(K129="ผ่าน",1,0)</f>
        <v/>
      </c>
      <c r="N129" s="7" t="n"/>
    </row>
    <row r="130">
      <c r="F130" s="7" t="n"/>
      <c r="G130" s="7" t="n"/>
      <c r="H130" s="8">
        <f>IF(OR(F130="",G130=""),"",MAX(0,ROUND((G130-F130)*1440,0)))</f>
        <v/>
      </c>
      <c r="I130" s="8">
        <f>IF(F130="","ไม่ครบ","ครบ")</f>
        <v/>
      </c>
      <c r="J130" s="8">
        <f>IF(G130="","ไม่ครบ","ครบ")</f>
        <v/>
      </c>
      <c r="K130" s="8">
        <f>IF(OR(F130="",G130=""),"ไม่ผ่าน",IF(H130&gt;=90,"ผ่าน","ไม่ผ่าน"))</f>
        <v/>
      </c>
      <c r="L130" s="8">
        <f>IF(K130="ผ่าน",1,0)</f>
        <v/>
      </c>
      <c r="N130" s="7" t="n"/>
    </row>
    <row r="131">
      <c r="F131" s="7" t="n"/>
      <c r="G131" s="7" t="n"/>
      <c r="H131" s="8">
        <f>IF(OR(F131="",G131=""),"",MAX(0,ROUND((G131-F131)*1440,0)))</f>
        <v/>
      </c>
      <c r="I131" s="8">
        <f>IF(F131="","ไม่ครบ","ครบ")</f>
        <v/>
      </c>
      <c r="J131" s="8">
        <f>IF(G131="","ไม่ครบ","ครบ")</f>
        <v/>
      </c>
      <c r="K131" s="8">
        <f>IF(OR(F131="",G131=""),"ไม่ผ่าน",IF(H131&gt;=90,"ผ่าน","ไม่ผ่าน"))</f>
        <v/>
      </c>
      <c r="L131" s="8">
        <f>IF(K131="ผ่าน",1,0)</f>
        <v/>
      </c>
      <c r="N131" s="7" t="n"/>
    </row>
    <row r="132">
      <c r="F132" s="7" t="n"/>
      <c r="G132" s="7" t="n"/>
      <c r="H132" s="8">
        <f>IF(OR(F132="",G132=""),"",MAX(0,ROUND((G132-F132)*1440,0)))</f>
        <v/>
      </c>
      <c r="I132" s="8">
        <f>IF(F132="","ไม่ครบ","ครบ")</f>
        <v/>
      </c>
      <c r="J132" s="8">
        <f>IF(G132="","ไม่ครบ","ครบ")</f>
        <v/>
      </c>
      <c r="K132" s="8">
        <f>IF(OR(F132="",G132=""),"ไม่ผ่าน",IF(H132&gt;=90,"ผ่าน","ไม่ผ่าน"))</f>
        <v/>
      </c>
      <c r="L132" s="8">
        <f>IF(K132="ผ่าน",1,0)</f>
        <v/>
      </c>
      <c r="N132" s="7" t="n"/>
    </row>
    <row r="133">
      <c r="F133" s="7" t="n"/>
      <c r="G133" s="7" t="n"/>
      <c r="H133" s="8">
        <f>IF(OR(F133="",G133=""),"",MAX(0,ROUND((G133-F133)*1440,0)))</f>
        <v/>
      </c>
      <c r="I133" s="8">
        <f>IF(F133="","ไม่ครบ","ครบ")</f>
        <v/>
      </c>
      <c r="J133" s="8">
        <f>IF(G133="","ไม่ครบ","ครบ")</f>
        <v/>
      </c>
      <c r="K133" s="8">
        <f>IF(OR(F133="",G133=""),"ไม่ผ่าน",IF(H133&gt;=90,"ผ่าน","ไม่ผ่าน"))</f>
        <v/>
      </c>
      <c r="L133" s="8">
        <f>IF(K133="ผ่าน",1,0)</f>
        <v/>
      </c>
      <c r="N133" s="7" t="n"/>
    </row>
    <row r="134">
      <c r="F134" s="7" t="n"/>
      <c r="G134" s="7" t="n"/>
      <c r="H134" s="8">
        <f>IF(OR(F134="",G134=""),"",MAX(0,ROUND((G134-F134)*1440,0)))</f>
        <v/>
      </c>
      <c r="I134" s="8">
        <f>IF(F134="","ไม่ครบ","ครบ")</f>
        <v/>
      </c>
      <c r="J134" s="8">
        <f>IF(G134="","ไม่ครบ","ครบ")</f>
        <v/>
      </c>
      <c r="K134" s="8">
        <f>IF(OR(F134="",G134=""),"ไม่ผ่าน",IF(H134&gt;=90,"ผ่าน","ไม่ผ่าน"))</f>
        <v/>
      </c>
      <c r="L134" s="8">
        <f>IF(K134="ผ่าน",1,0)</f>
        <v/>
      </c>
      <c r="N134" s="7" t="n"/>
    </row>
    <row r="135">
      <c r="F135" s="7" t="n"/>
      <c r="G135" s="7" t="n"/>
      <c r="H135" s="8">
        <f>IF(OR(F135="",G135=""),"",MAX(0,ROUND((G135-F135)*1440,0)))</f>
        <v/>
      </c>
      <c r="I135" s="8">
        <f>IF(F135="","ไม่ครบ","ครบ")</f>
        <v/>
      </c>
      <c r="J135" s="8">
        <f>IF(G135="","ไม่ครบ","ครบ")</f>
        <v/>
      </c>
      <c r="K135" s="8">
        <f>IF(OR(F135="",G135=""),"ไม่ผ่าน",IF(H135&gt;=90,"ผ่าน","ไม่ผ่าน"))</f>
        <v/>
      </c>
      <c r="L135" s="8">
        <f>IF(K135="ผ่าน",1,0)</f>
        <v/>
      </c>
      <c r="N135" s="7" t="n"/>
    </row>
    <row r="136">
      <c r="F136" s="7" t="n"/>
      <c r="G136" s="7" t="n"/>
      <c r="H136" s="8">
        <f>IF(OR(F136="",G136=""),"",MAX(0,ROUND((G136-F136)*1440,0)))</f>
        <v/>
      </c>
      <c r="I136" s="8">
        <f>IF(F136="","ไม่ครบ","ครบ")</f>
        <v/>
      </c>
      <c r="J136" s="8">
        <f>IF(G136="","ไม่ครบ","ครบ")</f>
        <v/>
      </c>
      <c r="K136" s="8">
        <f>IF(OR(F136="",G136=""),"ไม่ผ่าน",IF(H136&gt;=90,"ผ่าน","ไม่ผ่าน"))</f>
        <v/>
      </c>
      <c r="L136" s="8">
        <f>IF(K136="ผ่าน",1,0)</f>
        <v/>
      </c>
      <c r="N136" s="7" t="n"/>
    </row>
    <row r="137">
      <c r="F137" s="7" t="n"/>
      <c r="G137" s="7" t="n"/>
      <c r="H137" s="8">
        <f>IF(OR(F137="",G137=""),"",MAX(0,ROUND((G137-F137)*1440,0)))</f>
        <v/>
      </c>
      <c r="I137" s="8">
        <f>IF(F137="","ไม่ครบ","ครบ")</f>
        <v/>
      </c>
      <c r="J137" s="8">
        <f>IF(G137="","ไม่ครบ","ครบ")</f>
        <v/>
      </c>
      <c r="K137" s="8">
        <f>IF(OR(F137="",G137=""),"ไม่ผ่าน",IF(H137&gt;=90,"ผ่าน","ไม่ผ่าน"))</f>
        <v/>
      </c>
      <c r="L137" s="8">
        <f>IF(K137="ผ่าน",1,0)</f>
        <v/>
      </c>
      <c r="N137" s="7" t="n"/>
    </row>
    <row r="138">
      <c r="F138" s="7" t="n"/>
      <c r="G138" s="7" t="n"/>
      <c r="H138" s="8">
        <f>IF(OR(F138="",G138=""),"",MAX(0,ROUND((G138-F138)*1440,0)))</f>
        <v/>
      </c>
      <c r="I138" s="8">
        <f>IF(F138="","ไม่ครบ","ครบ")</f>
        <v/>
      </c>
      <c r="J138" s="8">
        <f>IF(G138="","ไม่ครบ","ครบ")</f>
        <v/>
      </c>
      <c r="K138" s="8">
        <f>IF(OR(F138="",G138=""),"ไม่ผ่าน",IF(H138&gt;=90,"ผ่าน","ไม่ผ่าน"))</f>
        <v/>
      </c>
      <c r="L138" s="8">
        <f>IF(K138="ผ่าน",1,0)</f>
        <v/>
      </c>
      <c r="N138" s="7" t="n"/>
    </row>
    <row r="139">
      <c r="F139" s="7" t="n"/>
      <c r="G139" s="7" t="n"/>
      <c r="H139" s="8">
        <f>IF(OR(F139="",G139=""),"",MAX(0,ROUND((G139-F139)*1440,0)))</f>
        <v/>
      </c>
      <c r="I139" s="8">
        <f>IF(F139="","ไม่ครบ","ครบ")</f>
        <v/>
      </c>
      <c r="J139" s="8">
        <f>IF(G139="","ไม่ครบ","ครบ")</f>
        <v/>
      </c>
      <c r="K139" s="8">
        <f>IF(OR(F139="",G139=""),"ไม่ผ่าน",IF(H139&gt;=90,"ผ่าน","ไม่ผ่าน"))</f>
        <v/>
      </c>
      <c r="L139" s="8">
        <f>IF(K139="ผ่าน",1,0)</f>
        <v/>
      </c>
      <c r="N139" s="7" t="n"/>
    </row>
    <row r="140">
      <c r="F140" s="7" t="n"/>
      <c r="G140" s="7" t="n"/>
      <c r="H140" s="8">
        <f>IF(OR(F140="",G140=""),"",MAX(0,ROUND((G140-F140)*1440,0)))</f>
        <v/>
      </c>
      <c r="I140" s="8">
        <f>IF(F140="","ไม่ครบ","ครบ")</f>
        <v/>
      </c>
      <c r="J140" s="8">
        <f>IF(G140="","ไม่ครบ","ครบ")</f>
        <v/>
      </c>
      <c r="K140" s="8">
        <f>IF(OR(F140="",G140=""),"ไม่ผ่าน",IF(H140&gt;=90,"ผ่าน","ไม่ผ่าน"))</f>
        <v/>
      </c>
      <c r="L140" s="8">
        <f>IF(K140="ผ่าน",1,0)</f>
        <v/>
      </c>
      <c r="N140" s="7" t="n"/>
    </row>
    <row r="141">
      <c r="F141" s="7" t="n"/>
      <c r="G141" s="7" t="n"/>
      <c r="H141" s="8">
        <f>IF(OR(F141="",G141=""),"",MAX(0,ROUND((G141-F141)*1440,0)))</f>
        <v/>
      </c>
      <c r="I141" s="8">
        <f>IF(F141="","ไม่ครบ","ครบ")</f>
        <v/>
      </c>
      <c r="J141" s="8">
        <f>IF(G141="","ไม่ครบ","ครบ")</f>
        <v/>
      </c>
      <c r="K141" s="8">
        <f>IF(OR(F141="",G141=""),"ไม่ผ่าน",IF(H141&gt;=90,"ผ่าน","ไม่ผ่าน"))</f>
        <v/>
      </c>
      <c r="L141" s="8">
        <f>IF(K141="ผ่าน",1,0)</f>
        <v/>
      </c>
      <c r="N141" s="7" t="n"/>
    </row>
    <row r="142">
      <c r="F142" s="7" t="n"/>
      <c r="G142" s="7" t="n"/>
      <c r="H142" s="8">
        <f>IF(OR(F142="",G142=""),"",MAX(0,ROUND((G142-F142)*1440,0)))</f>
        <v/>
      </c>
      <c r="I142" s="8">
        <f>IF(F142="","ไม่ครบ","ครบ")</f>
        <v/>
      </c>
      <c r="J142" s="8">
        <f>IF(G142="","ไม่ครบ","ครบ")</f>
        <v/>
      </c>
      <c r="K142" s="8">
        <f>IF(OR(F142="",G142=""),"ไม่ผ่าน",IF(H142&gt;=90,"ผ่าน","ไม่ผ่าน"))</f>
        <v/>
      </c>
      <c r="L142" s="8">
        <f>IF(K142="ผ่าน",1,0)</f>
        <v/>
      </c>
      <c r="N142" s="7" t="n"/>
    </row>
    <row r="143">
      <c r="F143" s="7" t="n"/>
      <c r="G143" s="7" t="n"/>
      <c r="H143" s="8">
        <f>IF(OR(F143="",G143=""),"",MAX(0,ROUND((G143-F143)*1440,0)))</f>
        <v/>
      </c>
      <c r="I143" s="8">
        <f>IF(F143="","ไม่ครบ","ครบ")</f>
        <v/>
      </c>
      <c r="J143" s="8">
        <f>IF(G143="","ไม่ครบ","ครบ")</f>
        <v/>
      </c>
      <c r="K143" s="8">
        <f>IF(OR(F143="",G143=""),"ไม่ผ่าน",IF(H143&gt;=90,"ผ่าน","ไม่ผ่าน"))</f>
        <v/>
      </c>
      <c r="L143" s="8">
        <f>IF(K143="ผ่าน",1,0)</f>
        <v/>
      </c>
      <c r="N143" s="7" t="n"/>
    </row>
    <row r="144">
      <c r="F144" s="7" t="n"/>
      <c r="G144" s="7" t="n"/>
      <c r="H144" s="8">
        <f>IF(OR(F144="",G144=""),"",MAX(0,ROUND((G144-F144)*1440,0)))</f>
        <v/>
      </c>
      <c r="I144" s="8">
        <f>IF(F144="","ไม่ครบ","ครบ")</f>
        <v/>
      </c>
      <c r="J144" s="8">
        <f>IF(G144="","ไม่ครบ","ครบ")</f>
        <v/>
      </c>
      <c r="K144" s="8">
        <f>IF(OR(F144="",G144=""),"ไม่ผ่าน",IF(H144&gt;=90,"ผ่าน","ไม่ผ่าน"))</f>
        <v/>
      </c>
      <c r="L144" s="8">
        <f>IF(K144="ผ่าน",1,0)</f>
        <v/>
      </c>
      <c r="N144" s="7" t="n"/>
    </row>
    <row r="145">
      <c r="F145" s="7" t="n"/>
      <c r="G145" s="7" t="n"/>
      <c r="H145" s="8">
        <f>IF(OR(F145="",G145=""),"",MAX(0,ROUND((G145-F145)*1440,0)))</f>
        <v/>
      </c>
      <c r="I145" s="8">
        <f>IF(F145="","ไม่ครบ","ครบ")</f>
        <v/>
      </c>
      <c r="J145" s="8">
        <f>IF(G145="","ไม่ครบ","ครบ")</f>
        <v/>
      </c>
      <c r="K145" s="8">
        <f>IF(OR(F145="",G145=""),"ไม่ผ่าน",IF(H145&gt;=90,"ผ่าน","ไม่ผ่าน"))</f>
        <v/>
      </c>
      <c r="L145" s="8">
        <f>IF(K145="ผ่าน",1,0)</f>
        <v/>
      </c>
      <c r="N145" s="7" t="n"/>
    </row>
    <row r="146">
      <c r="F146" s="7" t="n"/>
      <c r="G146" s="7" t="n"/>
      <c r="H146" s="8">
        <f>IF(OR(F146="",G146=""),"",MAX(0,ROUND((G146-F146)*1440,0)))</f>
        <v/>
      </c>
      <c r="I146" s="8">
        <f>IF(F146="","ไม่ครบ","ครบ")</f>
        <v/>
      </c>
      <c r="J146" s="8">
        <f>IF(G146="","ไม่ครบ","ครบ")</f>
        <v/>
      </c>
      <c r="K146" s="8">
        <f>IF(OR(F146="",G146=""),"ไม่ผ่าน",IF(H146&gt;=90,"ผ่าน","ไม่ผ่าน"))</f>
        <v/>
      </c>
      <c r="L146" s="8">
        <f>IF(K146="ผ่าน",1,0)</f>
        <v/>
      </c>
      <c r="N146" s="7" t="n"/>
    </row>
    <row r="147">
      <c r="F147" s="7" t="n"/>
      <c r="G147" s="7" t="n"/>
      <c r="H147" s="8">
        <f>IF(OR(F147="",G147=""),"",MAX(0,ROUND((G147-F147)*1440,0)))</f>
        <v/>
      </c>
      <c r="I147" s="8">
        <f>IF(F147="","ไม่ครบ","ครบ")</f>
        <v/>
      </c>
      <c r="J147" s="8">
        <f>IF(G147="","ไม่ครบ","ครบ")</f>
        <v/>
      </c>
      <c r="K147" s="8">
        <f>IF(OR(F147="",G147=""),"ไม่ผ่าน",IF(H147&gt;=90,"ผ่าน","ไม่ผ่าน"))</f>
        <v/>
      </c>
      <c r="L147" s="8">
        <f>IF(K147="ผ่าน",1,0)</f>
        <v/>
      </c>
      <c r="N147" s="7" t="n"/>
    </row>
    <row r="148">
      <c r="F148" s="7" t="n"/>
      <c r="G148" s="7" t="n"/>
      <c r="H148" s="8">
        <f>IF(OR(F148="",G148=""),"",MAX(0,ROUND((G148-F148)*1440,0)))</f>
        <v/>
      </c>
      <c r="I148" s="8">
        <f>IF(F148="","ไม่ครบ","ครบ")</f>
        <v/>
      </c>
      <c r="J148" s="8">
        <f>IF(G148="","ไม่ครบ","ครบ")</f>
        <v/>
      </c>
      <c r="K148" s="8">
        <f>IF(OR(F148="",G148=""),"ไม่ผ่าน",IF(H148&gt;=90,"ผ่าน","ไม่ผ่าน"))</f>
        <v/>
      </c>
      <c r="L148" s="8">
        <f>IF(K148="ผ่าน",1,0)</f>
        <v/>
      </c>
      <c r="N148" s="7" t="n"/>
    </row>
    <row r="149">
      <c r="F149" s="7" t="n"/>
      <c r="G149" s="7" t="n"/>
      <c r="H149" s="8">
        <f>IF(OR(F149="",G149=""),"",MAX(0,ROUND((G149-F149)*1440,0)))</f>
        <v/>
      </c>
      <c r="I149" s="8">
        <f>IF(F149="","ไม่ครบ","ครบ")</f>
        <v/>
      </c>
      <c r="J149" s="8">
        <f>IF(G149="","ไม่ครบ","ครบ")</f>
        <v/>
      </c>
      <c r="K149" s="8">
        <f>IF(OR(F149="",G149=""),"ไม่ผ่าน",IF(H149&gt;=90,"ผ่าน","ไม่ผ่าน"))</f>
        <v/>
      </c>
      <c r="L149" s="8">
        <f>IF(K149="ผ่าน",1,0)</f>
        <v/>
      </c>
      <c r="N149" s="7" t="n"/>
    </row>
    <row r="150">
      <c r="F150" s="7" t="n"/>
      <c r="G150" s="7" t="n"/>
      <c r="H150" s="8">
        <f>IF(OR(F150="",G150=""),"",MAX(0,ROUND((G150-F150)*1440,0)))</f>
        <v/>
      </c>
      <c r="I150" s="8">
        <f>IF(F150="","ไม่ครบ","ครบ")</f>
        <v/>
      </c>
      <c r="J150" s="8">
        <f>IF(G150="","ไม่ครบ","ครบ")</f>
        <v/>
      </c>
      <c r="K150" s="8">
        <f>IF(OR(F150="",G150=""),"ไม่ผ่าน",IF(H150&gt;=90,"ผ่าน","ไม่ผ่าน"))</f>
        <v/>
      </c>
      <c r="L150" s="8">
        <f>IF(K150="ผ่าน",1,0)</f>
        <v/>
      </c>
      <c r="N150" s="7" t="n"/>
    </row>
    <row r="151">
      <c r="F151" s="7" t="n"/>
      <c r="G151" s="7" t="n"/>
      <c r="H151" s="8">
        <f>IF(OR(F151="",G151=""),"",MAX(0,ROUND((G151-F151)*1440,0)))</f>
        <v/>
      </c>
      <c r="I151" s="8">
        <f>IF(F151="","ไม่ครบ","ครบ")</f>
        <v/>
      </c>
      <c r="J151" s="8">
        <f>IF(G151="","ไม่ครบ","ครบ")</f>
        <v/>
      </c>
      <c r="K151" s="8">
        <f>IF(OR(F151="",G151=""),"ไม่ผ่าน",IF(H151&gt;=90,"ผ่าน","ไม่ผ่าน"))</f>
        <v/>
      </c>
      <c r="L151" s="8">
        <f>IF(K151="ผ่าน",1,0)</f>
        <v/>
      </c>
      <c r="N151" s="7" t="n"/>
    </row>
    <row r="152">
      <c r="F152" s="7" t="n"/>
      <c r="G152" s="7" t="n"/>
      <c r="H152" s="8">
        <f>IF(OR(F152="",G152=""),"",MAX(0,ROUND((G152-F152)*1440,0)))</f>
        <v/>
      </c>
      <c r="I152" s="8">
        <f>IF(F152="","ไม่ครบ","ครบ")</f>
        <v/>
      </c>
      <c r="J152" s="8">
        <f>IF(G152="","ไม่ครบ","ครบ")</f>
        <v/>
      </c>
      <c r="K152" s="8">
        <f>IF(OR(F152="",G152=""),"ไม่ผ่าน",IF(H152&gt;=90,"ผ่าน","ไม่ผ่าน"))</f>
        <v/>
      </c>
      <c r="L152" s="8">
        <f>IF(K152="ผ่าน",1,0)</f>
        <v/>
      </c>
      <c r="N152" s="7" t="n"/>
    </row>
    <row r="153">
      <c r="F153" s="7" t="n"/>
      <c r="G153" s="7" t="n"/>
      <c r="H153" s="8">
        <f>IF(OR(F153="",G153=""),"",MAX(0,ROUND((G153-F153)*1440,0)))</f>
        <v/>
      </c>
      <c r="I153" s="8">
        <f>IF(F153="","ไม่ครบ","ครบ")</f>
        <v/>
      </c>
      <c r="J153" s="8">
        <f>IF(G153="","ไม่ครบ","ครบ")</f>
        <v/>
      </c>
      <c r="K153" s="8">
        <f>IF(OR(F153="",G153=""),"ไม่ผ่าน",IF(H153&gt;=90,"ผ่าน","ไม่ผ่าน"))</f>
        <v/>
      </c>
      <c r="L153" s="8">
        <f>IF(K153="ผ่าน",1,0)</f>
        <v/>
      </c>
      <c r="N153" s="7" t="n"/>
    </row>
    <row r="154">
      <c r="F154" s="7" t="n"/>
      <c r="G154" s="7" t="n"/>
      <c r="H154" s="8">
        <f>IF(OR(F154="",G154=""),"",MAX(0,ROUND((G154-F154)*1440,0)))</f>
        <v/>
      </c>
      <c r="I154" s="8">
        <f>IF(F154="","ไม่ครบ","ครบ")</f>
        <v/>
      </c>
      <c r="J154" s="8">
        <f>IF(G154="","ไม่ครบ","ครบ")</f>
        <v/>
      </c>
      <c r="K154" s="8">
        <f>IF(OR(F154="",G154=""),"ไม่ผ่าน",IF(H154&gt;=90,"ผ่าน","ไม่ผ่าน"))</f>
        <v/>
      </c>
      <c r="L154" s="8">
        <f>IF(K154="ผ่าน",1,0)</f>
        <v/>
      </c>
      <c r="N154" s="7" t="n"/>
    </row>
    <row r="155">
      <c r="F155" s="7" t="n"/>
      <c r="G155" s="7" t="n"/>
      <c r="H155" s="8">
        <f>IF(OR(F155="",G155=""),"",MAX(0,ROUND((G155-F155)*1440,0)))</f>
        <v/>
      </c>
      <c r="I155" s="8">
        <f>IF(F155="","ไม่ครบ","ครบ")</f>
        <v/>
      </c>
      <c r="J155" s="8">
        <f>IF(G155="","ไม่ครบ","ครบ")</f>
        <v/>
      </c>
      <c r="K155" s="8">
        <f>IF(OR(F155="",G155=""),"ไม่ผ่าน",IF(H155&gt;=90,"ผ่าน","ไม่ผ่าน"))</f>
        <v/>
      </c>
      <c r="L155" s="8">
        <f>IF(K155="ผ่าน",1,0)</f>
        <v/>
      </c>
      <c r="N155" s="7" t="n"/>
    </row>
    <row r="156">
      <c r="F156" s="7" t="n"/>
      <c r="G156" s="7" t="n"/>
      <c r="H156" s="8">
        <f>IF(OR(F156="",G156=""),"",MAX(0,ROUND((G156-F156)*1440,0)))</f>
        <v/>
      </c>
      <c r="I156" s="8">
        <f>IF(F156="","ไม่ครบ","ครบ")</f>
        <v/>
      </c>
      <c r="J156" s="8">
        <f>IF(G156="","ไม่ครบ","ครบ")</f>
        <v/>
      </c>
      <c r="K156" s="8">
        <f>IF(OR(F156="",G156=""),"ไม่ผ่าน",IF(H156&gt;=90,"ผ่าน","ไม่ผ่าน"))</f>
        <v/>
      </c>
      <c r="L156" s="8">
        <f>IF(K156="ผ่าน",1,0)</f>
        <v/>
      </c>
      <c r="N156" s="7" t="n"/>
    </row>
    <row r="157">
      <c r="F157" s="7" t="n"/>
      <c r="G157" s="7" t="n"/>
      <c r="H157" s="8">
        <f>IF(OR(F157="",G157=""),"",MAX(0,ROUND((G157-F157)*1440,0)))</f>
        <v/>
      </c>
      <c r="I157" s="8">
        <f>IF(F157="","ไม่ครบ","ครบ")</f>
        <v/>
      </c>
      <c r="J157" s="8">
        <f>IF(G157="","ไม่ครบ","ครบ")</f>
        <v/>
      </c>
      <c r="K157" s="8">
        <f>IF(OR(F157="",G157=""),"ไม่ผ่าน",IF(H157&gt;=90,"ผ่าน","ไม่ผ่าน"))</f>
        <v/>
      </c>
      <c r="L157" s="8">
        <f>IF(K157="ผ่าน",1,0)</f>
        <v/>
      </c>
      <c r="N157" s="7" t="n"/>
    </row>
    <row r="158">
      <c r="F158" s="7" t="n"/>
      <c r="G158" s="7" t="n"/>
      <c r="H158" s="8">
        <f>IF(OR(F158="",G158=""),"",MAX(0,ROUND((G158-F158)*1440,0)))</f>
        <v/>
      </c>
      <c r="I158" s="8">
        <f>IF(F158="","ไม่ครบ","ครบ")</f>
        <v/>
      </c>
      <c r="J158" s="8">
        <f>IF(G158="","ไม่ครบ","ครบ")</f>
        <v/>
      </c>
      <c r="K158" s="8">
        <f>IF(OR(F158="",G158=""),"ไม่ผ่าน",IF(H158&gt;=90,"ผ่าน","ไม่ผ่าน"))</f>
        <v/>
      </c>
      <c r="L158" s="8">
        <f>IF(K158="ผ่าน",1,0)</f>
        <v/>
      </c>
      <c r="N158" s="7" t="n"/>
    </row>
    <row r="159">
      <c r="F159" s="7" t="n"/>
      <c r="G159" s="7" t="n"/>
      <c r="H159" s="8">
        <f>IF(OR(F159="",G159=""),"",MAX(0,ROUND((G159-F159)*1440,0)))</f>
        <v/>
      </c>
      <c r="I159" s="8">
        <f>IF(F159="","ไม่ครบ","ครบ")</f>
        <v/>
      </c>
      <c r="J159" s="8">
        <f>IF(G159="","ไม่ครบ","ครบ")</f>
        <v/>
      </c>
      <c r="K159" s="8">
        <f>IF(OR(F159="",G159=""),"ไม่ผ่าน",IF(H159&gt;=90,"ผ่าน","ไม่ผ่าน"))</f>
        <v/>
      </c>
      <c r="L159" s="8">
        <f>IF(K159="ผ่าน",1,0)</f>
        <v/>
      </c>
      <c r="N159" s="7" t="n"/>
    </row>
    <row r="160">
      <c r="F160" s="7" t="n"/>
      <c r="G160" s="7" t="n"/>
      <c r="H160" s="8">
        <f>IF(OR(F160="",G160=""),"",MAX(0,ROUND((G160-F160)*1440,0)))</f>
        <v/>
      </c>
      <c r="I160" s="8">
        <f>IF(F160="","ไม่ครบ","ครบ")</f>
        <v/>
      </c>
      <c r="J160" s="8">
        <f>IF(G160="","ไม่ครบ","ครบ")</f>
        <v/>
      </c>
      <c r="K160" s="8">
        <f>IF(OR(F160="",G160=""),"ไม่ผ่าน",IF(H160&gt;=90,"ผ่าน","ไม่ผ่าน"))</f>
        <v/>
      </c>
      <c r="L160" s="8">
        <f>IF(K160="ผ่าน",1,0)</f>
        <v/>
      </c>
      <c r="N160" s="7" t="n"/>
    </row>
    <row r="161">
      <c r="F161" s="7" t="n"/>
      <c r="G161" s="7" t="n"/>
      <c r="H161" s="8">
        <f>IF(OR(F161="",G161=""),"",MAX(0,ROUND((G161-F161)*1440,0)))</f>
        <v/>
      </c>
      <c r="I161" s="8">
        <f>IF(F161="","ไม่ครบ","ครบ")</f>
        <v/>
      </c>
      <c r="J161" s="8">
        <f>IF(G161="","ไม่ครบ","ครบ")</f>
        <v/>
      </c>
      <c r="K161" s="8">
        <f>IF(OR(F161="",G161=""),"ไม่ผ่าน",IF(H161&gt;=90,"ผ่าน","ไม่ผ่าน"))</f>
        <v/>
      </c>
      <c r="L161" s="8">
        <f>IF(K161="ผ่าน",1,0)</f>
        <v/>
      </c>
      <c r="N161" s="7" t="n"/>
    </row>
    <row r="162">
      <c r="F162" s="7" t="n"/>
      <c r="G162" s="7" t="n"/>
      <c r="H162" s="8">
        <f>IF(OR(F162="",G162=""),"",MAX(0,ROUND((G162-F162)*1440,0)))</f>
        <v/>
      </c>
      <c r="I162" s="8">
        <f>IF(F162="","ไม่ครบ","ครบ")</f>
        <v/>
      </c>
      <c r="J162" s="8">
        <f>IF(G162="","ไม่ครบ","ครบ")</f>
        <v/>
      </c>
      <c r="K162" s="8">
        <f>IF(OR(F162="",G162=""),"ไม่ผ่าน",IF(H162&gt;=90,"ผ่าน","ไม่ผ่าน"))</f>
        <v/>
      </c>
      <c r="L162" s="8">
        <f>IF(K162="ผ่าน",1,0)</f>
        <v/>
      </c>
      <c r="N162" s="7" t="n"/>
    </row>
    <row r="163">
      <c r="F163" s="7" t="n"/>
      <c r="G163" s="7" t="n"/>
      <c r="H163" s="8">
        <f>IF(OR(F163="",G163=""),"",MAX(0,ROUND((G163-F163)*1440,0)))</f>
        <v/>
      </c>
      <c r="I163" s="8">
        <f>IF(F163="","ไม่ครบ","ครบ")</f>
        <v/>
      </c>
      <c r="J163" s="8">
        <f>IF(G163="","ไม่ครบ","ครบ")</f>
        <v/>
      </c>
      <c r="K163" s="8">
        <f>IF(OR(F163="",G163=""),"ไม่ผ่าน",IF(H163&gt;=90,"ผ่าน","ไม่ผ่าน"))</f>
        <v/>
      </c>
      <c r="L163" s="8">
        <f>IF(K163="ผ่าน",1,0)</f>
        <v/>
      </c>
      <c r="N163" s="7" t="n"/>
    </row>
    <row r="164">
      <c r="F164" s="7" t="n"/>
      <c r="G164" s="7" t="n"/>
      <c r="H164" s="8">
        <f>IF(OR(F164="",G164=""),"",MAX(0,ROUND((G164-F164)*1440,0)))</f>
        <v/>
      </c>
      <c r="I164" s="8">
        <f>IF(F164="","ไม่ครบ","ครบ")</f>
        <v/>
      </c>
      <c r="J164" s="8">
        <f>IF(G164="","ไม่ครบ","ครบ")</f>
        <v/>
      </c>
      <c r="K164" s="8">
        <f>IF(OR(F164="",G164=""),"ไม่ผ่าน",IF(H164&gt;=90,"ผ่าน","ไม่ผ่าน"))</f>
        <v/>
      </c>
      <c r="L164" s="8">
        <f>IF(K164="ผ่าน",1,0)</f>
        <v/>
      </c>
      <c r="N164" s="7" t="n"/>
    </row>
    <row r="165">
      <c r="F165" s="7" t="n"/>
      <c r="G165" s="7" t="n"/>
      <c r="H165" s="8">
        <f>IF(OR(F165="",G165=""),"",MAX(0,ROUND((G165-F165)*1440,0)))</f>
        <v/>
      </c>
      <c r="I165" s="8">
        <f>IF(F165="","ไม่ครบ","ครบ")</f>
        <v/>
      </c>
      <c r="J165" s="8">
        <f>IF(G165="","ไม่ครบ","ครบ")</f>
        <v/>
      </c>
      <c r="K165" s="8">
        <f>IF(OR(F165="",G165=""),"ไม่ผ่าน",IF(H165&gt;=90,"ผ่าน","ไม่ผ่าน"))</f>
        <v/>
      </c>
      <c r="L165" s="8">
        <f>IF(K165="ผ่าน",1,0)</f>
        <v/>
      </c>
      <c r="N165" s="7" t="n"/>
    </row>
    <row r="166">
      <c r="F166" s="7" t="n"/>
      <c r="G166" s="7" t="n"/>
      <c r="H166" s="8">
        <f>IF(OR(F166="",G166=""),"",MAX(0,ROUND((G166-F166)*1440,0)))</f>
        <v/>
      </c>
      <c r="I166" s="8">
        <f>IF(F166="","ไม่ครบ","ครบ")</f>
        <v/>
      </c>
      <c r="J166" s="8">
        <f>IF(G166="","ไม่ครบ","ครบ")</f>
        <v/>
      </c>
      <c r="K166" s="8">
        <f>IF(OR(F166="",G166=""),"ไม่ผ่าน",IF(H166&gt;=90,"ผ่าน","ไม่ผ่าน"))</f>
        <v/>
      </c>
      <c r="L166" s="8">
        <f>IF(K166="ผ่าน",1,0)</f>
        <v/>
      </c>
      <c r="N166" s="7" t="n"/>
    </row>
    <row r="167">
      <c r="F167" s="7" t="n"/>
      <c r="G167" s="7" t="n"/>
      <c r="H167" s="8">
        <f>IF(OR(F167="",G167=""),"",MAX(0,ROUND((G167-F167)*1440,0)))</f>
        <v/>
      </c>
      <c r="I167" s="8">
        <f>IF(F167="","ไม่ครบ","ครบ")</f>
        <v/>
      </c>
      <c r="J167" s="8">
        <f>IF(G167="","ไม่ครบ","ครบ")</f>
        <v/>
      </c>
      <c r="K167" s="8">
        <f>IF(OR(F167="",G167=""),"ไม่ผ่าน",IF(H167&gt;=90,"ผ่าน","ไม่ผ่าน"))</f>
        <v/>
      </c>
      <c r="L167" s="8">
        <f>IF(K167="ผ่าน",1,0)</f>
        <v/>
      </c>
      <c r="N167" s="7" t="n"/>
    </row>
    <row r="168">
      <c r="F168" s="7" t="n"/>
      <c r="G168" s="7" t="n"/>
      <c r="H168" s="8">
        <f>IF(OR(F168="",G168=""),"",MAX(0,ROUND((G168-F168)*1440,0)))</f>
        <v/>
      </c>
      <c r="I168" s="8">
        <f>IF(F168="","ไม่ครบ","ครบ")</f>
        <v/>
      </c>
      <c r="J168" s="8">
        <f>IF(G168="","ไม่ครบ","ครบ")</f>
        <v/>
      </c>
      <c r="K168" s="8">
        <f>IF(OR(F168="",G168=""),"ไม่ผ่าน",IF(H168&gt;=90,"ผ่าน","ไม่ผ่าน"))</f>
        <v/>
      </c>
      <c r="L168" s="8">
        <f>IF(K168="ผ่าน",1,0)</f>
        <v/>
      </c>
      <c r="N168" s="7" t="n"/>
    </row>
    <row r="169">
      <c r="F169" s="7" t="n"/>
      <c r="G169" s="7" t="n"/>
      <c r="H169" s="8">
        <f>IF(OR(F169="",G169=""),"",MAX(0,ROUND((G169-F169)*1440,0)))</f>
        <v/>
      </c>
      <c r="I169" s="8">
        <f>IF(F169="","ไม่ครบ","ครบ")</f>
        <v/>
      </c>
      <c r="J169" s="8">
        <f>IF(G169="","ไม่ครบ","ครบ")</f>
        <v/>
      </c>
      <c r="K169" s="8">
        <f>IF(OR(F169="",G169=""),"ไม่ผ่าน",IF(H169&gt;=90,"ผ่าน","ไม่ผ่าน"))</f>
        <v/>
      </c>
      <c r="L169" s="8">
        <f>IF(K169="ผ่าน",1,0)</f>
        <v/>
      </c>
      <c r="N169" s="7" t="n"/>
    </row>
    <row r="170">
      <c r="F170" s="7" t="n"/>
      <c r="G170" s="7" t="n"/>
      <c r="H170" s="8">
        <f>IF(OR(F170="",G170=""),"",MAX(0,ROUND((G170-F170)*1440,0)))</f>
        <v/>
      </c>
      <c r="I170" s="8">
        <f>IF(F170="","ไม่ครบ","ครบ")</f>
        <v/>
      </c>
      <c r="J170" s="8">
        <f>IF(G170="","ไม่ครบ","ครบ")</f>
        <v/>
      </c>
      <c r="K170" s="8">
        <f>IF(OR(F170="",G170=""),"ไม่ผ่าน",IF(H170&gt;=90,"ผ่าน","ไม่ผ่าน"))</f>
        <v/>
      </c>
      <c r="L170" s="8">
        <f>IF(K170="ผ่าน",1,0)</f>
        <v/>
      </c>
      <c r="N170" s="7" t="n"/>
    </row>
    <row r="171">
      <c r="F171" s="7" t="n"/>
      <c r="G171" s="7" t="n"/>
      <c r="H171" s="8">
        <f>IF(OR(F171="",G171=""),"",MAX(0,ROUND((G171-F171)*1440,0)))</f>
        <v/>
      </c>
      <c r="I171" s="8">
        <f>IF(F171="","ไม่ครบ","ครบ")</f>
        <v/>
      </c>
      <c r="J171" s="8">
        <f>IF(G171="","ไม่ครบ","ครบ")</f>
        <v/>
      </c>
      <c r="K171" s="8">
        <f>IF(OR(F171="",G171=""),"ไม่ผ่าน",IF(H171&gt;=90,"ผ่าน","ไม่ผ่าน"))</f>
        <v/>
      </c>
      <c r="L171" s="8">
        <f>IF(K171="ผ่าน",1,0)</f>
        <v/>
      </c>
      <c r="N171" s="7" t="n"/>
    </row>
    <row r="172">
      <c r="F172" s="7" t="n"/>
      <c r="G172" s="7" t="n"/>
      <c r="H172" s="8">
        <f>IF(OR(F172="",G172=""),"",MAX(0,ROUND((G172-F172)*1440,0)))</f>
        <v/>
      </c>
      <c r="I172" s="8">
        <f>IF(F172="","ไม่ครบ","ครบ")</f>
        <v/>
      </c>
      <c r="J172" s="8">
        <f>IF(G172="","ไม่ครบ","ครบ")</f>
        <v/>
      </c>
      <c r="K172" s="8">
        <f>IF(OR(F172="",G172=""),"ไม่ผ่าน",IF(H172&gt;=90,"ผ่าน","ไม่ผ่าน"))</f>
        <v/>
      </c>
      <c r="L172" s="8">
        <f>IF(K172="ผ่าน",1,0)</f>
        <v/>
      </c>
      <c r="N172" s="7" t="n"/>
    </row>
    <row r="173">
      <c r="F173" s="7" t="n"/>
      <c r="G173" s="7" t="n"/>
      <c r="H173" s="8">
        <f>IF(OR(F173="",G173=""),"",MAX(0,ROUND((G173-F173)*1440,0)))</f>
        <v/>
      </c>
      <c r="I173" s="8">
        <f>IF(F173="","ไม่ครบ","ครบ")</f>
        <v/>
      </c>
      <c r="J173" s="8">
        <f>IF(G173="","ไม่ครบ","ครบ")</f>
        <v/>
      </c>
      <c r="K173" s="8">
        <f>IF(OR(F173="",G173=""),"ไม่ผ่าน",IF(H173&gt;=90,"ผ่าน","ไม่ผ่าน"))</f>
        <v/>
      </c>
      <c r="L173" s="8">
        <f>IF(K173="ผ่าน",1,0)</f>
        <v/>
      </c>
      <c r="N173" s="7" t="n"/>
    </row>
    <row r="174">
      <c r="F174" s="7" t="n"/>
      <c r="G174" s="7" t="n"/>
      <c r="H174" s="8">
        <f>IF(OR(F174="",G174=""),"",MAX(0,ROUND((G174-F174)*1440,0)))</f>
        <v/>
      </c>
      <c r="I174" s="8">
        <f>IF(F174="","ไม่ครบ","ครบ")</f>
        <v/>
      </c>
      <c r="J174" s="8">
        <f>IF(G174="","ไม่ครบ","ครบ")</f>
        <v/>
      </c>
      <c r="K174" s="8">
        <f>IF(OR(F174="",G174=""),"ไม่ผ่าน",IF(H174&gt;=90,"ผ่าน","ไม่ผ่าน"))</f>
        <v/>
      </c>
      <c r="L174" s="8">
        <f>IF(K174="ผ่าน",1,0)</f>
        <v/>
      </c>
      <c r="N174" s="7" t="n"/>
    </row>
    <row r="175">
      <c r="F175" s="7" t="n"/>
      <c r="G175" s="7" t="n"/>
      <c r="H175" s="8">
        <f>IF(OR(F175="",G175=""),"",MAX(0,ROUND((G175-F175)*1440,0)))</f>
        <v/>
      </c>
      <c r="I175" s="8">
        <f>IF(F175="","ไม่ครบ","ครบ")</f>
        <v/>
      </c>
      <c r="J175" s="8">
        <f>IF(G175="","ไม่ครบ","ครบ")</f>
        <v/>
      </c>
      <c r="K175" s="8">
        <f>IF(OR(F175="",G175=""),"ไม่ผ่าน",IF(H175&gt;=90,"ผ่าน","ไม่ผ่าน"))</f>
        <v/>
      </c>
      <c r="L175" s="8">
        <f>IF(K175="ผ่าน",1,0)</f>
        <v/>
      </c>
      <c r="N175" s="7" t="n"/>
    </row>
    <row r="176">
      <c r="F176" s="7" t="n"/>
      <c r="G176" s="7" t="n"/>
      <c r="H176" s="8">
        <f>IF(OR(F176="",G176=""),"",MAX(0,ROUND((G176-F176)*1440,0)))</f>
        <v/>
      </c>
      <c r="I176" s="8">
        <f>IF(F176="","ไม่ครบ","ครบ")</f>
        <v/>
      </c>
      <c r="J176" s="8">
        <f>IF(G176="","ไม่ครบ","ครบ")</f>
        <v/>
      </c>
      <c r="K176" s="8">
        <f>IF(OR(F176="",G176=""),"ไม่ผ่าน",IF(H176&gt;=90,"ผ่าน","ไม่ผ่าน"))</f>
        <v/>
      </c>
      <c r="L176" s="8">
        <f>IF(K176="ผ่าน",1,0)</f>
        <v/>
      </c>
      <c r="N176" s="7" t="n"/>
    </row>
    <row r="177">
      <c r="F177" s="7" t="n"/>
      <c r="G177" s="7" t="n"/>
      <c r="H177" s="8">
        <f>IF(OR(F177="",G177=""),"",MAX(0,ROUND((G177-F177)*1440,0)))</f>
        <v/>
      </c>
      <c r="I177" s="8">
        <f>IF(F177="","ไม่ครบ","ครบ")</f>
        <v/>
      </c>
      <c r="J177" s="8">
        <f>IF(G177="","ไม่ครบ","ครบ")</f>
        <v/>
      </c>
      <c r="K177" s="8">
        <f>IF(OR(F177="",G177=""),"ไม่ผ่าน",IF(H177&gt;=90,"ผ่าน","ไม่ผ่าน"))</f>
        <v/>
      </c>
      <c r="L177" s="8">
        <f>IF(K177="ผ่าน",1,0)</f>
        <v/>
      </c>
      <c r="N177" s="7" t="n"/>
    </row>
    <row r="178">
      <c r="F178" s="7" t="n"/>
      <c r="G178" s="7" t="n"/>
      <c r="H178" s="8">
        <f>IF(OR(F178="",G178=""),"",MAX(0,ROUND((G178-F178)*1440,0)))</f>
        <v/>
      </c>
      <c r="I178" s="8">
        <f>IF(F178="","ไม่ครบ","ครบ")</f>
        <v/>
      </c>
      <c r="J178" s="8">
        <f>IF(G178="","ไม่ครบ","ครบ")</f>
        <v/>
      </c>
      <c r="K178" s="8">
        <f>IF(OR(F178="",G178=""),"ไม่ผ่าน",IF(H178&gt;=90,"ผ่าน","ไม่ผ่าน"))</f>
        <v/>
      </c>
      <c r="L178" s="8">
        <f>IF(K178="ผ่าน",1,0)</f>
        <v/>
      </c>
      <c r="N178" s="7" t="n"/>
    </row>
    <row r="179">
      <c r="F179" s="7" t="n"/>
      <c r="G179" s="7" t="n"/>
      <c r="H179" s="8">
        <f>IF(OR(F179="",G179=""),"",MAX(0,ROUND((G179-F179)*1440,0)))</f>
        <v/>
      </c>
      <c r="I179" s="8">
        <f>IF(F179="","ไม่ครบ","ครบ")</f>
        <v/>
      </c>
      <c r="J179" s="8">
        <f>IF(G179="","ไม่ครบ","ครบ")</f>
        <v/>
      </c>
      <c r="K179" s="8">
        <f>IF(OR(F179="",G179=""),"ไม่ผ่าน",IF(H179&gt;=90,"ผ่าน","ไม่ผ่าน"))</f>
        <v/>
      </c>
      <c r="L179" s="8">
        <f>IF(K179="ผ่าน",1,0)</f>
        <v/>
      </c>
      <c r="N179" s="7" t="n"/>
    </row>
    <row r="180">
      <c r="F180" s="7" t="n"/>
      <c r="G180" s="7" t="n"/>
      <c r="H180" s="8">
        <f>IF(OR(F180="",G180=""),"",MAX(0,ROUND((G180-F180)*1440,0)))</f>
        <v/>
      </c>
      <c r="I180" s="8">
        <f>IF(F180="","ไม่ครบ","ครบ")</f>
        <v/>
      </c>
      <c r="J180" s="8">
        <f>IF(G180="","ไม่ครบ","ครบ")</f>
        <v/>
      </c>
      <c r="K180" s="8">
        <f>IF(OR(F180="",G180=""),"ไม่ผ่าน",IF(H180&gt;=90,"ผ่าน","ไม่ผ่าน"))</f>
        <v/>
      </c>
      <c r="L180" s="8">
        <f>IF(K180="ผ่าน",1,0)</f>
        <v/>
      </c>
      <c r="N180" s="7" t="n"/>
    </row>
    <row r="181">
      <c r="F181" s="7" t="n"/>
      <c r="G181" s="7" t="n"/>
      <c r="H181" s="8">
        <f>IF(OR(F181="",G181=""),"",MAX(0,ROUND((G181-F181)*1440,0)))</f>
        <v/>
      </c>
      <c r="I181" s="8">
        <f>IF(F181="","ไม่ครบ","ครบ")</f>
        <v/>
      </c>
      <c r="J181" s="8">
        <f>IF(G181="","ไม่ครบ","ครบ")</f>
        <v/>
      </c>
      <c r="K181" s="8">
        <f>IF(OR(F181="",G181=""),"ไม่ผ่าน",IF(H181&gt;=90,"ผ่าน","ไม่ผ่าน"))</f>
        <v/>
      </c>
      <c r="L181" s="8">
        <f>IF(K181="ผ่าน",1,0)</f>
        <v/>
      </c>
      <c r="N181" s="7" t="n"/>
    </row>
    <row r="182">
      <c r="F182" s="7" t="n"/>
      <c r="G182" s="7" t="n"/>
      <c r="H182" s="8">
        <f>IF(OR(F182="",G182=""),"",MAX(0,ROUND((G182-F182)*1440,0)))</f>
        <v/>
      </c>
      <c r="I182" s="8">
        <f>IF(F182="","ไม่ครบ","ครบ")</f>
        <v/>
      </c>
      <c r="J182" s="8">
        <f>IF(G182="","ไม่ครบ","ครบ")</f>
        <v/>
      </c>
      <c r="K182" s="8">
        <f>IF(OR(F182="",G182=""),"ไม่ผ่าน",IF(H182&gt;=90,"ผ่าน","ไม่ผ่าน"))</f>
        <v/>
      </c>
      <c r="L182" s="8">
        <f>IF(K182="ผ่าน",1,0)</f>
        <v/>
      </c>
      <c r="N182" s="7" t="n"/>
    </row>
    <row r="183">
      <c r="F183" s="7" t="n"/>
      <c r="G183" s="7" t="n"/>
      <c r="H183" s="8">
        <f>IF(OR(F183="",G183=""),"",MAX(0,ROUND((G183-F183)*1440,0)))</f>
        <v/>
      </c>
      <c r="I183" s="8">
        <f>IF(F183="","ไม่ครบ","ครบ")</f>
        <v/>
      </c>
      <c r="J183" s="8">
        <f>IF(G183="","ไม่ครบ","ครบ")</f>
        <v/>
      </c>
      <c r="K183" s="8">
        <f>IF(OR(F183="",G183=""),"ไม่ผ่าน",IF(H183&gt;=90,"ผ่าน","ไม่ผ่าน"))</f>
        <v/>
      </c>
      <c r="L183" s="8">
        <f>IF(K183="ผ่าน",1,0)</f>
        <v/>
      </c>
      <c r="N183" s="7" t="n"/>
    </row>
    <row r="184">
      <c r="F184" s="7" t="n"/>
      <c r="G184" s="7" t="n"/>
      <c r="H184" s="8">
        <f>IF(OR(F184="",G184=""),"",MAX(0,ROUND((G184-F184)*1440,0)))</f>
        <v/>
      </c>
      <c r="I184" s="8">
        <f>IF(F184="","ไม่ครบ","ครบ")</f>
        <v/>
      </c>
      <c r="J184" s="8">
        <f>IF(G184="","ไม่ครบ","ครบ")</f>
        <v/>
      </c>
      <c r="K184" s="8">
        <f>IF(OR(F184="",G184=""),"ไม่ผ่าน",IF(H184&gt;=90,"ผ่าน","ไม่ผ่าน"))</f>
        <v/>
      </c>
      <c r="L184" s="8">
        <f>IF(K184="ผ่าน",1,0)</f>
        <v/>
      </c>
      <c r="N184" s="7" t="n"/>
    </row>
    <row r="185">
      <c r="F185" s="7" t="n"/>
      <c r="G185" s="7" t="n"/>
      <c r="H185" s="8">
        <f>IF(OR(F185="",G185=""),"",MAX(0,ROUND((G185-F185)*1440,0)))</f>
        <v/>
      </c>
      <c r="I185" s="8">
        <f>IF(F185="","ไม่ครบ","ครบ")</f>
        <v/>
      </c>
      <c r="J185" s="8">
        <f>IF(G185="","ไม่ครบ","ครบ")</f>
        <v/>
      </c>
      <c r="K185" s="8">
        <f>IF(OR(F185="",G185=""),"ไม่ผ่าน",IF(H185&gt;=90,"ผ่าน","ไม่ผ่าน"))</f>
        <v/>
      </c>
      <c r="L185" s="8">
        <f>IF(K185="ผ่าน",1,0)</f>
        <v/>
      </c>
      <c r="N185" s="7" t="n"/>
    </row>
    <row r="186">
      <c r="F186" s="7" t="n"/>
      <c r="G186" s="7" t="n"/>
      <c r="H186" s="8">
        <f>IF(OR(F186="",G186=""),"",MAX(0,ROUND((G186-F186)*1440,0)))</f>
        <v/>
      </c>
      <c r="I186" s="8">
        <f>IF(F186="","ไม่ครบ","ครบ")</f>
        <v/>
      </c>
      <c r="J186" s="8">
        <f>IF(G186="","ไม่ครบ","ครบ")</f>
        <v/>
      </c>
      <c r="K186" s="8">
        <f>IF(OR(F186="",G186=""),"ไม่ผ่าน",IF(H186&gt;=90,"ผ่าน","ไม่ผ่าน"))</f>
        <v/>
      </c>
      <c r="L186" s="8">
        <f>IF(K186="ผ่าน",1,0)</f>
        <v/>
      </c>
      <c r="N186" s="7" t="n"/>
    </row>
    <row r="187">
      <c r="F187" s="7" t="n"/>
      <c r="G187" s="7" t="n"/>
      <c r="H187" s="8">
        <f>IF(OR(F187="",G187=""),"",MAX(0,ROUND((G187-F187)*1440,0)))</f>
        <v/>
      </c>
      <c r="I187" s="8">
        <f>IF(F187="","ไม่ครบ","ครบ")</f>
        <v/>
      </c>
      <c r="J187" s="8">
        <f>IF(G187="","ไม่ครบ","ครบ")</f>
        <v/>
      </c>
      <c r="K187" s="8">
        <f>IF(OR(F187="",G187=""),"ไม่ผ่าน",IF(H187&gt;=90,"ผ่าน","ไม่ผ่าน"))</f>
        <v/>
      </c>
      <c r="L187" s="8">
        <f>IF(K187="ผ่าน",1,0)</f>
        <v/>
      </c>
      <c r="N187" s="7" t="n"/>
    </row>
    <row r="188">
      <c r="F188" s="7" t="n"/>
      <c r="G188" s="7" t="n"/>
      <c r="H188" s="8">
        <f>IF(OR(F188="",G188=""),"",MAX(0,ROUND((G188-F188)*1440,0)))</f>
        <v/>
      </c>
      <c r="I188" s="8">
        <f>IF(F188="","ไม่ครบ","ครบ")</f>
        <v/>
      </c>
      <c r="J188" s="8">
        <f>IF(G188="","ไม่ครบ","ครบ")</f>
        <v/>
      </c>
      <c r="K188" s="8">
        <f>IF(OR(F188="",G188=""),"ไม่ผ่าน",IF(H188&gt;=90,"ผ่าน","ไม่ผ่าน"))</f>
        <v/>
      </c>
      <c r="L188" s="8">
        <f>IF(K188="ผ่าน",1,0)</f>
        <v/>
      </c>
      <c r="N188" s="7" t="n"/>
    </row>
    <row r="189">
      <c r="F189" s="7" t="n"/>
      <c r="G189" s="7" t="n"/>
      <c r="H189" s="8">
        <f>IF(OR(F189="",G189=""),"",MAX(0,ROUND((G189-F189)*1440,0)))</f>
        <v/>
      </c>
      <c r="I189" s="8">
        <f>IF(F189="","ไม่ครบ","ครบ")</f>
        <v/>
      </c>
      <c r="J189" s="8">
        <f>IF(G189="","ไม่ครบ","ครบ")</f>
        <v/>
      </c>
      <c r="K189" s="8">
        <f>IF(OR(F189="",G189=""),"ไม่ผ่าน",IF(H189&gt;=90,"ผ่าน","ไม่ผ่าน"))</f>
        <v/>
      </c>
      <c r="L189" s="8">
        <f>IF(K189="ผ่าน",1,0)</f>
        <v/>
      </c>
      <c r="N189" s="7" t="n"/>
    </row>
    <row r="190">
      <c r="F190" s="7" t="n"/>
      <c r="G190" s="7" t="n"/>
      <c r="H190" s="8">
        <f>IF(OR(F190="",G190=""),"",MAX(0,ROUND((G190-F190)*1440,0)))</f>
        <v/>
      </c>
      <c r="I190" s="8">
        <f>IF(F190="","ไม่ครบ","ครบ")</f>
        <v/>
      </c>
      <c r="J190" s="8">
        <f>IF(G190="","ไม่ครบ","ครบ")</f>
        <v/>
      </c>
      <c r="K190" s="8">
        <f>IF(OR(F190="",G190=""),"ไม่ผ่าน",IF(H190&gt;=90,"ผ่าน","ไม่ผ่าน"))</f>
        <v/>
      </c>
      <c r="L190" s="8">
        <f>IF(K190="ผ่าน",1,0)</f>
        <v/>
      </c>
      <c r="N190" s="7" t="n"/>
    </row>
    <row r="191">
      <c r="F191" s="7" t="n"/>
      <c r="G191" s="7" t="n"/>
      <c r="H191" s="8">
        <f>IF(OR(F191="",G191=""),"",MAX(0,ROUND((G191-F191)*1440,0)))</f>
        <v/>
      </c>
      <c r="I191" s="8">
        <f>IF(F191="","ไม่ครบ","ครบ")</f>
        <v/>
      </c>
      <c r="J191" s="8">
        <f>IF(G191="","ไม่ครบ","ครบ")</f>
        <v/>
      </c>
      <c r="K191" s="8">
        <f>IF(OR(F191="",G191=""),"ไม่ผ่าน",IF(H191&gt;=90,"ผ่าน","ไม่ผ่าน"))</f>
        <v/>
      </c>
      <c r="L191" s="8">
        <f>IF(K191="ผ่าน",1,0)</f>
        <v/>
      </c>
      <c r="N191" s="7" t="n"/>
    </row>
    <row r="192">
      <c r="F192" s="7" t="n"/>
      <c r="G192" s="7" t="n"/>
      <c r="H192" s="8">
        <f>IF(OR(F192="",G192=""),"",MAX(0,ROUND((G192-F192)*1440,0)))</f>
        <v/>
      </c>
      <c r="I192" s="8">
        <f>IF(F192="","ไม่ครบ","ครบ")</f>
        <v/>
      </c>
      <c r="J192" s="8">
        <f>IF(G192="","ไม่ครบ","ครบ")</f>
        <v/>
      </c>
      <c r="K192" s="8">
        <f>IF(OR(F192="",G192=""),"ไม่ผ่าน",IF(H192&gt;=90,"ผ่าน","ไม่ผ่าน"))</f>
        <v/>
      </c>
      <c r="L192" s="8">
        <f>IF(K192="ผ่าน",1,0)</f>
        <v/>
      </c>
      <c r="N192" s="7" t="n"/>
    </row>
    <row r="193">
      <c r="F193" s="7" t="n"/>
      <c r="G193" s="7" t="n"/>
      <c r="H193" s="8">
        <f>IF(OR(F193="",G193=""),"",MAX(0,ROUND((G193-F193)*1440,0)))</f>
        <v/>
      </c>
      <c r="I193" s="8">
        <f>IF(F193="","ไม่ครบ","ครบ")</f>
        <v/>
      </c>
      <c r="J193" s="8">
        <f>IF(G193="","ไม่ครบ","ครบ")</f>
        <v/>
      </c>
      <c r="K193" s="8">
        <f>IF(OR(F193="",G193=""),"ไม่ผ่าน",IF(H193&gt;=90,"ผ่าน","ไม่ผ่าน"))</f>
        <v/>
      </c>
      <c r="L193" s="8">
        <f>IF(K193="ผ่าน",1,0)</f>
        <v/>
      </c>
      <c r="N193" s="7" t="n"/>
    </row>
    <row r="194">
      <c r="F194" s="7" t="n"/>
      <c r="G194" s="7" t="n"/>
      <c r="H194" s="8">
        <f>IF(OR(F194="",G194=""),"",MAX(0,ROUND((G194-F194)*1440,0)))</f>
        <v/>
      </c>
      <c r="I194" s="8">
        <f>IF(F194="","ไม่ครบ","ครบ")</f>
        <v/>
      </c>
      <c r="J194" s="8">
        <f>IF(G194="","ไม่ครบ","ครบ")</f>
        <v/>
      </c>
      <c r="K194" s="8">
        <f>IF(OR(F194="",G194=""),"ไม่ผ่าน",IF(H194&gt;=90,"ผ่าน","ไม่ผ่าน"))</f>
        <v/>
      </c>
      <c r="L194" s="8">
        <f>IF(K194="ผ่าน",1,0)</f>
        <v/>
      </c>
      <c r="N194" s="7" t="n"/>
    </row>
    <row r="195">
      <c r="F195" s="7" t="n"/>
      <c r="G195" s="7" t="n"/>
      <c r="H195" s="8">
        <f>IF(OR(F195="",G195=""),"",MAX(0,ROUND((G195-F195)*1440,0)))</f>
        <v/>
      </c>
      <c r="I195" s="8">
        <f>IF(F195="","ไม่ครบ","ครบ")</f>
        <v/>
      </c>
      <c r="J195" s="8">
        <f>IF(G195="","ไม่ครบ","ครบ")</f>
        <v/>
      </c>
      <c r="K195" s="8">
        <f>IF(OR(F195="",G195=""),"ไม่ผ่าน",IF(H195&gt;=90,"ผ่าน","ไม่ผ่าน"))</f>
        <v/>
      </c>
      <c r="L195" s="8">
        <f>IF(K195="ผ่าน",1,0)</f>
        <v/>
      </c>
      <c r="N195" s="7" t="n"/>
    </row>
    <row r="196">
      <c r="F196" s="7" t="n"/>
      <c r="G196" s="7" t="n"/>
      <c r="H196" s="8">
        <f>IF(OR(F196="",G196=""),"",MAX(0,ROUND((G196-F196)*1440,0)))</f>
        <v/>
      </c>
      <c r="I196" s="8">
        <f>IF(F196="","ไม่ครบ","ครบ")</f>
        <v/>
      </c>
      <c r="J196" s="8">
        <f>IF(G196="","ไม่ครบ","ครบ")</f>
        <v/>
      </c>
      <c r="K196" s="8">
        <f>IF(OR(F196="",G196=""),"ไม่ผ่าน",IF(H196&gt;=90,"ผ่าน","ไม่ผ่าน"))</f>
        <v/>
      </c>
      <c r="L196" s="8">
        <f>IF(K196="ผ่าน",1,0)</f>
        <v/>
      </c>
      <c r="N196" s="7" t="n"/>
    </row>
    <row r="197">
      <c r="F197" s="7" t="n"/>
      <c r="G197" s="7" t="n"/>
      <c r="H197" s="8">
        <f>IF(OR(F197="",G197=""),"",MAX(0,ROUND((G197-F197)*1440,0)))</f>
        <v/>
      </c>
      <c r="I197" s="8">
        <f>IF(F197="","ไม่ครบ","ครบ")</f>
        <v/>
      </c>
      <c r="J197" s="8">
        <f>IF(G197="","ไม่ครบ","ครบ")</f>
        <v/>
      </c>
      <c r="K197" s="8">
        <f>IF(OR(F197="",G197=""),"ไม่ผ่าน",IF(H197&gt;=90,"ผ่าน","ไม่ผ่าน"))</f>
        <v/>
      </c>
      <c r="L197" s="8">
        <f>IF(K197="ผ่าน",1,0)</f>
        <v/>
      </c>
      <c r="N197" s="7" t="n"/>
    </row>
    <row r="198">
      <c r="F198" s="7" t="n"/>
      <c r="G198" s="7" t="n"/>
      <c r="H198" s="8">
        <f>IF(OR(F198="",G198=""),"",MAX(0,ROUND((G198-F198)*1440,0)))</f>
        <v/>
      </c>
      <c r="I198" s="8">
        <f>IF(F198="","ไม่ครบ","ครบ")</f>
        <v/>
      </c>
      <c r="J198" s="8">
        <f>IF(G198="","ไม่ครบ","ครบ")</f>
        <v/>
      </c>
      <c r="K198" s="8">
        <f>IF(OR(F198="",G198=""),"ไม่ผ่าน",IF(H198&gt;=90,"ผ่าน","ไม่ผ่าน"))</f>
        <v/>
      </c>
      <c r="L198" s="8">
        <f>IF(K198="ผ่าน",1,0)</f>
        <v/>
      </c>
      <c r="N198" s="7" t="n"/>
    </row>
    <row r="199">
      <c r="F199" s="7" t="n"/>
      <c r="G199" s="7" t="n"/>
      <c r="H199" s="8">
        <f>IF(OR(F199="",G199=""),"",MAX(0,ROUND((G199-F199)*1440,0)))</f>
        <v/>
      </c>
      <c r="I199" s="8">
        <f>IF(F199="","ไม่ครบ","ครบ")</f>
        <v/>
      </c>
      <c r="J199" s="8">
        <f>IF(G199="","ไม่ครบ","ครบ")</f>
        <v/>
      </c>
      <c r="K199" s="8">
        <f>IF(OR(F199="",G199=""),"ไม่ผ่าน",IF(H199&gt;=90,"ผ่าน","ไม่ผ่าน"))</f>
        <v/>
      </c>
      <c r="L199" s="8">
        <f>IF(K199="ผ่าน",1,0)</f>
        <v/>
      </c>
      <c r="N199" s="7" t="n"/>
    </row>
    <row r="200">
      <c r="F200" s="7" t="n"/>
      <c r="G200" s="7" t="n"/>
      <c r="H200" s="8">
        <f>IF(OR(F200="",G200=""),"",MAX(0,ROUND((G200-F200)*1440,0)))</f>
        <v/>
      </c>
      <c r="I200" s="8">
        <f>IF(F200="","ไม่ครบ","ครบ")</f>
        <v/>
      </c>
      <c r="J200" s="8">
        <f>IF(G200="","ไม่ครบ","ครบ")</f>
        <v/>
      </c>
      <c r="K200" s="8">
        <f>IF(OR(F200="",G200=""),"ไม่ผ่าน",IF(H200&gt;=90,"ผ่าน","ไม่ผ่าน"))</f>
        <v/>
      </c>
      <c r="L200" s="8">
        <f>IF(K200="ผ่าน",1,0)</f>
        <v/>
      </c>
      <c r="N200" s="7" t="n"/>
    </row>
    <row r="201">
      <c r="F201" s="7" t="n"/>
      <c r="G201" s="7" t="n"/>
      <c r="H201" s="8">
        <f>IF(OR(F201="",G201=""),"",MAX(0,ROUND((G201-F201)*1440,0)))</f>
        <v/>
      </c>
      <c r="I201" s="8">
        <f>IF(F201="","ไม่ครบ","ครบ")</f>
        <v/>
      </c>
      <c r="J201" s="8">
        <f>IF(G201="","ไม่ครบ","ครบ")</f>
        <v/>
      </c>
      <c r="K201" s="8">
        <f>IF(OR(F201="",G201=""),"ไม่ผ่าน",IF(H201&gt;=90,"ผ่าน","ไม่ผ่าน"))</f>
        <v/>
      </c>
      <c r="L201" s="8">
        <f>IF(K201="ผ่าน",1,0)</f>
        <v/>
      </c>
      <c r="N201" s="7" t="n"/>
    </row>
    <row r="202">
      <c r="F202" s="7" t="n"/>
      <c r="G202" s="7" t="n"/>
      <c r="H202" s="8">
        <f>IF(OR(F202="",G202=""),"",MAX(0,ROUND((G202-F202)*1440,0)))</f>
        <v/>
      </c>
      <c r="I202" s="8">
        <f>IF(F202="","ไม่ครบ","ครบ")</f>
        <v/>
      </c>
      <c r="J202" s="8">
        <f>IF(G202="","ไม่ครบ","ครบ")</f>
        <v/>
      </c>
      <c r="K202" s="8">
        <f>IF(OR(F202="",G202=""),"ไม่ผ่าน",IF(H202&gt;=90,"ผ่าน","ไม่ผ่าน"))</f>
        <v/>
      </c>
      <c r="L202" s="8">
        <f>IF(K202="ผ่าน",1,0)</f>
        <v/>
      </c>
      <c r="N202" s="7" t="n"/>
    </row>
    <row r="203">
      <c r="F203" s="7" t="n"/>
      <c r="G203" s="7" t="n"/>
      <c r="H203" s="8">
        <f>IF(OR(F203="",G203=""),"",MAX(0,ROUND((G203-F203)*1440,0)))</f>
        <v/>
      </c>
      <c r="I203" s="8">
        <f>IF(F203="","ไม่ครบ","ครบ")</f>
        <v/>
      </c>
      <c r="J203" s="8">
        <f>IF(G203="","ไม่ครบ","ครบ")</f>
        <v/>
      </c>
      <c r="K203" s="8">
        <f>IF(OR(F203="",G203=""),"ไม่ผ่าน",IF(H203&gt;=90,"ผ่าน","ไม่ผ่าน"))</f>
        <v/>
      </c>
      <c r="L203" s="8">
        <f>IF(K203="ผ่าน",1,0)</f>
        <v/>
      </c>
      <c r="N203" s="7" t="n"/>
    </row>
    <row r="204">
      <c r="F204" s="7" t="n"/>
      <c r="G204" s="7" t="n"/>
      <c r="H204" s="8">
        <f>IF(OR(F204="",G204=""),"",MAX(0,ROUND((G204-F204)*1440,0)))</f>
        <v/>
      </c>
      <c r="I204" s="8">
        <f>IF(F204="","ไม่ครบ","ครบ")</f>
        <v/>
      </c>
      <c r="J204" s="8">
        <f>IF(G204="","ไม่ครบ","ครบ")</f>
        <v/>
      </c>
      <c r="K204" s="8">
        <f>IF(OR(F204="",G204=""),"ไม่ผ่าน",IF(H204&gt;=90,"ผ่าน","ไม่ผ่าน"))</f>
        <v/>
      </c>
      <c r="L204" s="8">
        <f>IF(K204="ผ่าน",1,0)</f>
        <v/>
      </c>
      <c r="N204" s="7" t="n"/>
    </row>
    <row r="205">
      <c r="F205" s="7" t="n"/>
      <c r="G205" s="7" t="n"/>
      <c r="H205" s="8">
        <f>IF(OR(F205="",G205=""),"",MAX(0,ROUND((G205-F205)*1440,0)))</f>
        <v/>
      </c>
      <c r="I205" s="8">
        <f>IF(F205="","ไม่ครบ","ครบ")</f>
        <v/>
      </c>
      <c r="J205" s="8">
        <f>IF(G205="","ไม่ครบ","ครบ")</f>
        <v/>
      </c>
      <c r="K205" s="8">
        <f>IF(OR(F205="",G205=""),"ไม่ผ่าน",IF(H205&gt;=90,"ผ่าน","ไม่ผ่าน"))</f>
        <v/>
      </c>
      <c r="L205" s="8">
        <f>IF(K205="ผ่าน",1,0)</f>
        <v/>
      </c>
      <c r="N205" s="7" t="n"/>
    </row>
    <row r="206">
      <c r="F206" s="7" t="n"/>
      <c r="G206" s="7" t="n"/>
      <c r="H206" s="8">
        <f>IF(OR(F206="",G206=""),"",MAX(0,ROUND((G206-F206)*1440,0)))</f>
        <v/>
      </c>
      <c r="I206" s="8">
        <f>IF(F206="","ไม่ครบ","ครบ")</f>
        <v/>
      </c>
      <c r="J206" s="8">
        <f>IF(G206="","ไม่ครบ","ครบ")</f>
        <v/>
      </c>
      <c r="K206" s="8">
        <f>IF(OR(F206="",G206=""),"ไม่ผ่าน",IF(H206&gt;=90,"ผ่าน","ไม่ผ่าน"))</f>
        <v/>
      </c>
      <c r="L206" s="8">
        <f>IF(K206="ผ่าน",1,0)</f>
        <v/>
      </c>
      <c r="N206" s="7" t="n"/>
    </row>
    <row r="207">
      <c r="F207" s="7" t="n"/>
      <c r="G207" s="7" t="n"/>
      <c r="H207" s="8">
        <f>IF(OR(F207="",G207=""),"",MAX(0,ROUND((G207-F207)*1440,0)))</f>
        <v/>
      </c>
      <c r="I207" s="8">
        <f>IF(F207="","ไม่ครบ","ครบ")</f>
        <v/>
      </c>
      <c r="J207" s="8">
        <f>IF(G207="","ไม่ครบ","ครบ")</f>
        <v/>
      </c>
      <c r="K207" s="8">
        <f>IF(OR(F207="",G207=""),"ไม่ผ่าน",IF(H207&gt;=90,"ผ่าน","ไม่ผ่าน"))</f>
        <v/>
      </c>
      <c r="L207" s="8">
        <f>IF(K207="ผ่าน",1,0)</f>
        <v/>
      </c>
      <c r="N207" s="7" t="n"/>
    </row>
    <row r="208">
      <c r="F208" s="7" t="n"/>
      <c r="G208" s="7" t="n"/>
      <c r="H208" s="8">
        <f>IF(OR(F208="",G208=""),"",MAX(0,ROUND((G208-F208)*1440,0)))</f>
        <v/>
      </c>
      <c r="I208" s="8">
        <f>IF(F208="","ไม่ครบ","ครบ")</f>
        <v/>
      </c>
      <c r="J208" s="8">
        <f>IF(G208="","ไม่ครบ","ครบ")</f>
        <v/>
      </c>
      <c r="K208" s="8">
        <f>IF(OR(F208="",G208=""),"ไม่ผ่าน",IF(H208&gt;=90,"ผ่าน","ไม่ผ่าน"))</f>
        <v/>
      </c>
      <c r="L208" s="8">
        <f>IF(K208="ผ่าน",1,0)</f>
        <v/>
      </c>
      <c r="N208" s="7" t="n"/>
    </row>
    <row r="209">
      <c r="F209" s="7" t="n"/>
      <c r="G209" s="7" t="n"/>
      <c r="H209" s="8">
        <f>IF(OR(F209="",G209=""),"",MAX(0,ROUND((G209-F209)*1440,0)))</f>
        <v/>
      </c>
      <c r="I209" s="8">
        <f>IF(F209="","ไม่ครบ","ครบ")</f>
        <v/>
      </c>
      <c r="J209" s="8">
        <f>IF(G209="","ไม่ครบ","ครบ")</f>
        <v/>
      </c>
      <c r="K209" s="8">
        <f>IF(OR(F209="",G209=""),"ไม่ผ่าน",IF(H209&gt;=90,"ผ่าน","ไม่ผ่าน"))</f>
        <v/>
      </c>
      <c r="L209" s="8">
        <f>IF(K209="ผ่าน",1,0)</f>
        <v/>
      </c>
      <c r="N209" s="7" t="n"/>
    </row>
    <row r="210">
      <c r="F210" s="7" t="n"/>
      <c r="G210" s="7" t="n"/>
      <c r="H210" s="8">
        <f>IF(OR(F210="",G210=""),"",MAX(0,ROUND((G210-F210)*1440,0)))</f>
        <v/>
      </c>
      <c r="I210" s="8">
        <f>IF(F210="","ไม่ครบ","ครบ")</f>
        <v/>
      </c>
      <c r="J210" s="8">
        <f>IF(G210="","ไม่ครบ","ครบ")</f>
        <v/>
      </c>
      <c r="K210" s="8">
        <f>IF(OR(F210="",G210=""),"ไม่ผ่าน",IF(H210&gt;=90,"ผ่าน","ไม่ผ่าน"))</f>
        <v/>
      </c>
      <c r="L210" s="8">
        <f>IF(K210="ผ่าน",1,0)</f>
        <v/>
      </c>
      <c r="N210" s="7" t="n"/>
    </row>
    <row r="211">
      <c r="F211" s="7" t="n"/>
      <c r="G211" s="7" t="n"/>
      <c r="H211" s="8">
        <f>IF(OR(F211="",G211=""),"",MAX(0,ROUND((G211-F211)*1440,0)))</f>
        <v/>
      </c>
      <c r="I211" s="8">
        <f>IF(F211="","ไม่ครบ","ครบ")</f>
        <v/>
      </c>
      <c r="J211" s="8">
        <f>IF(G211="","ไม่ครบ","ครบ")</f>
        <v/>
      </c>
      <c r="K211" s="8">
        <f>IF(OR(F211="",G211=""),"ไม่ผ่าน",IF(H211&gt;=90,"ผ่าน","ไม่ผ่าน"))</f>
        <v/>
      </c>
      <c r="L211" s="8">
        <f>IF(K211="ผ่าน",1,0)</f>
        <v/>
      </c>
      <c r="N211" s="7" t="n"/>
    </row>
    <row r="212">
      <c r="F212" s="7" t="n"/>
      <c r="G212" s="7" t="n"/>
      <c r="H212" s="8">
        <f>IF(OR(F212="",G212=""),"",MAX(0,ROUND((G212-F212)*1440,0)))</f>
        <v/>
      </c>
      <c r="I212" s="8">
        <f>IF(F212="","ไม่ครบ","ครบ")</f>
        <v/>
      </c>
      <c r="J212" s="8">
        <f>IF(G212="","ไม่ครบ","ครบ")</f>
        <v/>
      </c>
      <c r="K212" s="8">
        <f>IF(OR(F212="",G212=""),"ไม่ผ่าน",IF(H212&gt;=90,"ผ่าน","ไม่ผ่าน"))</f>
        <v/>
      </c>
      <c r="L212" s="8">
        <f>IF(K212="ผ่าน",1,0)</f>
        <v/>
      </c>
      <c r="N212" s="7" t="n"/>
    </row>
    <row r="213">
      <c r="F213" s="7" t="n"/>
      <c r="G213" s="7" t="n"/>
      <c r="H213" s="8">
        <f>IF(OR(F213="",G213=""),"",MAX(0,ROUND((G213-F213)*1440,0)))</f>
        <v/>
      </c>
      <c r="I213" s="8">
        <f>IF(F213="","ไม่ครบ","ครบ")</f>
        <v/>
      </c>
      <c r="J213" s="8">
        <f>IF(G213="","ไม่ครบ","ครบ")</f>
        <v/>
      </c>
      <c r="K213" s="8">
        <f>IF(OR(F213="",G213=""),"ไม่ผ่าน",IF(H213&gt;=90,"ผ่าน","ไม่ผ่าน"))</f>
        <v/>
      </c>
      <c r="L213" s="8">
        <f>IF(K213="ผ่าน",1,0)</f>
        <v/>
      </c>
      <c r="N213" s="7" t="n"/>
    </row>
    <row r="214">
      <c r="F214" s="7" t="n"/>
      <c r="G214" s="7" t="n"/>
      <c r="H214" s="8">
        <f>IF(OR(F214="",G214=""),"",MAX(0,ROUND((G214-F214)*1440,0)))</f>
        <v/>
      </c>
      <c r="I214" s="8">
        <f>IF(F214="","ไม่ครบ","ครบ")</f>
        <v/>
      </c>
      <c r="J214" s="8">
        <f>IF(G214="","ไม่ครบ","ครบ")</f>
        <v/>
      </c>
      <c r="K214" s="8">
        <f>IF(OR(F214="",G214=""),"ไม่ผ่าน",IF(H214&gt;=90,"ผ่าน","ไม่ผ่าน"))</f>
        <v/>
      </c>
      <c r="L214" s="8">
        <f>IF(K214="ผ่าน",1,0)</f>
        <v/>
      </c>
      <c r="N214" s="7" t="n"/>
    </row>
    <row r="215">
      <c r="F215" s="7" t="n"/>
      <c r="G215" s="7" t="n"/>
      <c r="H215" s="8">
        <f>IF(OR(F215="",G215=""),"",MAX(0,ROUND((G215-F215)*1440,0)))</f>
        <v/>
      </c>
      <c r="I215" s="8">
        <f>IF(F215="","ไม่ครบ","ครบ")</f>
        <v/>
      </c>
      <c r="J215" s="8">
        <f>IF(G215="","ไม่ครบ","ครบ")</f>
        <v/>
      </c>
      <c r="K215" s="8">
        <f>IF(OR(F215="",G215=""),"ไม่ผ่าน",IF(H215&gt;=90,"ผ่าน","ไม่ผ่าน"))</f>
        <v/>
      </c>
      <c r="L215" s="8">
        <f>IF(K215="ผ่าน",1,0)</f>
        <v/>
      </c>
      <c r="N215" s="7" t="n"/>
    </row>
    <row r="216">
      <c r="F216" s="7" t="n"/>
      <c r="G216" s="7" t="n"/>
      <c r="H216" s="8">
        <f>IF(OR(F216="",G216=""),"",MAX(0,ROUND((G216-F216)*1440,0)))</f>
        <v/>
      </c>
      <c r="I216" s="8">
        <f>IF(F216="","ไม่ครบ","ครบ")</f>
        <v/>
      </c>
      <c r="J216" s="8">
        <f>IF(G216="","ไม่ครบ","ครบ")</f>
        <v/>
      </c>
      <c r="K216" s="8">
        <f>IF(OR(F216="",G216=""),"ไม่ผ่าน",IF(H216&gt;=90,"ผ่าน","ไม่ผ่าน"))</f>
        <v/>
      </c>
      <c r="L216" s="8">
        <f>IF(K216="ผ่าน",1,0)</f>
        <v/>
      </c>
      <c r="N216" s="7" t="n"/>
    </row>
    <row r="217">
      <c r="F217" s="7" t="n"/>
      <c r="G217" s="7" t="n"/>
      <c r="H217" s="8">
        <f>IF(OR(F217="",G217=""),"",MAX(0,ROUND((G217-F217)*1440,0)))</f>
        <v/>
      </c>
      <c r="I217" s="8">
        <f>IF(F217="","ไม่ครบ","ครบ")</f>
        <v/>
      </c>
      <c r="J217" s="8">
        <f>IF(G217="","ไม่ครบ","ครบ")</f>
        <v/>
      </c>
      <c r="K217" s="8">
        <f>IF(OR(F217="",G217=""),"ไม่ผ่าน",IF(H217&gt;=90,"ผ่าน","ไม่ผ่าน"))</f>
        <v/>
      </c>
      <c r="L217" s="8">
        <f>IF(K217="ผ่าน",1,0)</f>
        <v/>
      </c>
      <c r="N217" s="7" t="n"/>
    </row>
    <row r="218">
      <c r="F218" s="7" t="n"/>
      <c r="G218" s="7" t="n"/>
      <c r="H218" s="8">
        <f>IF(OR(F218="",G218=""),"",MAX(0,ROUND((G218-F218)*1440,0)))</f>
        <v/>
      </c>
      <c r="I218" s="8">
        <f>IF(F218="","ไม่ครบ","ครบ")</f>
        <v/>
      </c>
      <c r="J218" s="8">
        <f>IF(G218="","ไม่ครบ","ครบ")</f>
        <v/>
      </c>
      <c r="K218" s="8">
        <f>IF(OR(F218="",G218=""),"ไม่ผ่าน",IF(H218&gt;=90,"ผ่าน","ไม่ผ่าน"))</f>
        <v/>
      </c>
      <c r="L218" s="8">
        <f>IF(K218="ผ่าน",1,0)</f>
        <v/>
      </c>
      <c r="N218" s="7" t="n"/>
    </row>
    <row r="219">
      <c r="F219" s="7" t="n"/>
      <c r="G219" s="7" t="n"/>
      <c r="H219" s="8">
        <f>IF(OR(F219="",G219=""),"",MAX(0,ROUND((G219-F219)*1440,0)))</f>
        <v/>
      </c>
      <c r="I219" s="8">
        <f>IF(F219="","ไม่ครบ","ครบ")</f>
        <v/>
      </c>
      <c r="J219" s="8">
        <f>IF(G219="","ไม่ครบ","ครบ")</f>
        <v/>
      </c>
      <c r="K219" s="8">
        <f>IF(OR(F219="",G219=""),"ไม่ผ่าน",IF(H219&gt;=90,"ผ่าน","ไม่ผ่าน"))</f>
        <v/>
      </c>
      <c r="L219" s="8">
        <f>IF(K219="ผ่าน",1,0)</f>
        <v/>
      </c>
      <c r="N219" s="7" t="n"/>
    </row>
    <row r="220">
      <c r="F220" s="7" t="n"/>
      <c r="G220" s="7" t="n"/>
      <c r="H220" s="8">
        <f>IF(OR(F220="",G220=""),"",MAX(0,ROUND((G220-F220)*1440,0)))</f>
        <v/>
      </c>
      <c r="I220" s="8">
        <f>IF(F220="","ไม่ครบ","ครบ")</f>
        <v/>
      </c>
      <c r="J220" s="8">
        <f>IF(G220="","ไม่ครบ","ครบ")</f>
        <v/>
      </c>
      <c r="K220" s="8">
        <f>IF(OR(F220="",G220=""),"ไม่ผ่าน",IF(H220&gt;=90,"ผ่าน","ไม่ผ่าน"))</f>
        <v/>
      </c>
      <c r="L220" s="8">
        <f>IF(K220="ผ่าน",1,0)</f>
        <v/>
      </c>
      <c r="N220" s="7" t="n"/>
    </row>
    <row r="221">
      <c r="F221" s="7" t="n"/>
      <c r="G221" s="7" t="n"/>
      <c r="H221" s="8">
        <f>IF(OR(F221="",G221=""),"",MAX(0,ROUND((G221-F221)*1440,0)))</f>
        <v/>
      </c>
      <c r="I221" s="8">
        <f>IF(F221="","ไม่ครบ","ครบ")</f>
        <v/>
      </c>
      <c r="J221" s="8">
        <f>IF(G221="","ไม่ครบ","ครบ")</f>
        <v/>
      </c>
      <c r="K221" s="8">
        <f>IF(OR(F221="",G221=""),"ไม่ผ่าน",IF(H221&gt;=90,"ผ่าน","ไม่ผ่าน"))</f>
        <v/>
      </c>
      <c r="L221" s="8">
        <f>IF(K221="ผ่าน",1,0)</f>
        <v/>
      </c>
      <c r="N221" s="7" t="n"/>
    </row>
    <row r="222">
      <c r="F222" s="7" t="n"/>
      <c r="G222" s="7" t="n"/>
      <c r="H222" s="8">
        <f>IF(OR(F222="",G222=""),"",MAX(0,ROUND((G222-F222)*1440,0)))</f>
        <v/>
      </c>
      <c r="I222" s="8">
        <f>IF(F222="","ไม่ครบ","ครบ")</f>
        <v/>
      </c>
      <c r="J222" s="8">
        <f>IF(G222="","ไม่ครบ","ครบ")</f>
        <v/>
      </c>
      <c r="K222" s="8">
        <f>IF(OR(F222="",G222=""),"ไม่ผ่าน",IF(H222&gt;=90,"ผ่าน","ไม่ผ่าน"))</f>
        <v/>
      </c>
      <c r="L222" s="8">
        <f>IF(K222="ผ่าน",1,0)</f>
        <v/>
      </c>
      <c r="N222" s="7" t="n"/>
    </row>
    <row r="223">
      <c r="F223" s="7" t="n"/>
      <c r="G223" s="7" t="n"/>
      <c r="H223" s="8">
        <f>IF(OR(F223="",G223=""),"",MAX(0,ROUND((G223-F223)*1440,0)))</f>
        <v/>
      </c>
      <c r="I223" s="8">
        <f>IF(F223="","ไม่ครบ","ครบ")</f>
        <v/>
      </c>
      <c r="J223" s="8">
        <f>IF(G223="","ไม่ครบ","ครบ")</f>
        <v/>
      </c>
      <c r="K223" s="8">
        <f>IF(OR(F223="",G223=""),"ไม่ผ่าน",IF(H223&gt;=90,"ผ่าน","ไม่ผ่าน"))</f>
        <v/>
      </c>
      <c r="L223" s="8">
        <f>IF(K223="ผ่าน",1,0)</f>
        <v/>
      </c>
      <c r="N223" s="7" t="n"/>
    </row>
    <row r="224">
      <c r="F224" s="7" t="n"/>
      <c r="G224" s="7" t="n"/>
      <c r="H224" s="8">
        <f>IF(OR(F224="",G224=""),"",MAX(0,ROUND((G224-F224)*1440,0)))</f>
        <v/>
      </c>
      <c r="I224" s="8">
        <f>IF(F224="","ไม่ครบ","ครบ")</f>
        <v/>
      </c>
      <c r="J224" s="8">
        <f>IF(G224="","ไม่ครบ","ครบ")</f>
        <v/>
      </c>
      <c r="K224" s="8">
        <f>IF(OR(F224="",G224=""),"ไม่ผ่าน",IF(H224&gt;=90,"ผ่าน","ไม่ผ่าน"))</f>
        <v/>
      </c>
      <c r="L224" s="8">
        <f>IF(K224="ผ่าน",1,0)</f>
        <v/>
      </c>
      <c r="N224" s="7" t="n"/>
    </row>
    <row r="225">
      <c r="F225" s="7" t="n"/>
      <c r="G225" s="7" t="n"/>
      <c r="H225" s="8">
        <f>IF(OR(F225="",G225=""),"",MAX(0,ROUND((G225-F225)*1440,0)))</f>
        <v/>
      </c>
      <c r="I225" s="8">
        <f>IF(F225="","ไม่ครบ","ครบ")</f>
        <v/>
      </c>
      <c r="J225" s="8">
        <f>IF(G225="","ไม่ครบ","ครบ")</f>
        <v/>
      </c>
      <c r="K225" s="8">
        <f>IF(OR(F225="",G225=""),"ไม่ผ่าน",IF(H225&gt;=90,"ผ่าน","ไม่ผ่าน"))</f>
        <v/>
      </c>
      <c r="L225" s="8">
        <f>IF(K225="ผ่าน",1,0)</f>
        <v/>
      </c>
      <c r="N225" s="7" t="n"/>
    </row>
    <row r="226">
      <c r="F226" s="7" t="n"/>
      <c r="G226" s="7" t="n"/>
      <c r="H226" s="8">
        <f>IF(OR(F226="",G226=""),"",MAX(0,ROUND((G226-F226)*1440,0)))</f>
        <v/>
      </c>
      <c r="I226" s="8">
        <f>IF(F226="","ไม่ครบ","ครบ")</f>
        <v/>
      </c>
      <c r="J226" s="8">
        <f>IF(G226="","ไม่ครบ","ครบ")</f>
        <v/>
      </c>
      <c r="K226" s="8">
        <f>IF(OR(F226="",G226=""),"ไม่ผ่าน",IF(H226&gt;=90,"ผ่าน","ไม่ผ่าน"))</f>
        <v/>
      </c>
      <c r="L226" s="8">
        <f>IF(K226="ผ่าน",1,0)</f>
        <v/>
      </c>
      <c r="N226" s="7" t="n"/>
    </row>
    <row r="227">
      <c r="F227" s="7" t="n"/>
      <c r="G227" s="7" t="n"/>
      <c r="H227" s="8">
        <f>IF(OR(F227="",G227=""),"",MAX(0,ROUND((G227-F227)*1440,0)))</f>
        <v/>
      </c>
      <c r="I227" s="8">
        <f>IF(F227="","ไม่ครบ","ครบ")</f>
        <v/>
      </c>
      <c r="J227" s="8">
        <f>IF(G227="","ไม่ครบ","ครบ")</f>
        <v/>
      </c>
      <c r="K227" s="8">
        <f>IF(OR(F227="",G227=""),"ไม่ผ่าน",IF(H227&gt;=90,"ผ่าน","ไม่ผ่าน"))</f>
        <v/>
      </c>
      <c r="L227" s="8">
        <f>IF(K227="ผ่าน",1,0)</f>
        <v/>
      </c>
      <c r="N227" s="7" t="n"/>
    </row>
    <row r="228">
      <c r="F228" s="7" t="n"/>
      <c r="G228" s="7" t="n"/>
      <c r="H228" s="8">
        <f>IF(OR(F228="",G228=""),"",MAX(0,ROUND((G228-F228)*1440,0)))</f>
        <v/>
      </c>
      <c r="I228" s="8">
        <f>IF(F228="","ไม่ครบ","ครบ")</f>
        <v/>
      </c>
      <c r="J228" s="8">
        <f>IF(G228="","ไม่ครบ","ครบ")</f>
        <v/>
      </c>
      <c r="K228" s="8">
        <f>IF(OR(F228="",G228=""),"ไม่ผ่าน",IF(H228&gt;=90,"ผ่าน","ไม่ผ่าน"))</f>
        <v/>
      </c>
      <c r="L228" s="8">
        <f>IF(K228="ผ่าน",1,0)</f>
        <v/>
      </c>
      <c r="N228" s="7" t="n"/>
    </row>
    <row r="229">
      <c r="F229" s="7" t="n"/>
      <c r="G229" s="7" t="n"/>
      <c r="H229" s="8">
        <f>IF(OR(F229="",G229=""),"",MAX(0,ROUND((G229-F229)*1440,0)))</f>
        <v/>
      </c>
      <c r="I229" s="8">
        <f>IF(F229="","ไม่ครบ","ครบ")</f>
        <v/>
      </c>
      <c r="J229" s="8">
        <f>IF(G229="","ไม่ครบ","ครบ")</f>
        <v/>
      </c>
      <c r="K229" s="8">
        <f>IF(OR(F229="",G229=""),"ไม่ผ่าน",IF(H229&gt;=90,"ผ่าน","ไม่ผ่าน"))</f>
        <v/>
      </c>
      <c r="L229" s="8">
        <f>IF(K229="ผ่าน",1,0)</f>
        <v/>
      </c>
      <c r="N229" s="7" t="n"/>
    </row>
    <row r="230">
      <c r="F230" s="7" t="n"/>
      <c r="G230" s="7" t="n"/>
      <c r="H230" s="8">
        <f>IF(OR(F230="",G230=""),"",MAX(0,ROUND((G230-F230)*1440,0)))</f>
        <v/>
      </c>
      <c r="I230" s="8">
        <f>IF(F230="","ไม่ครบ","ครบ")</f>
        <v/>
      </c>
      <c r="J230" s="8">
        <f>IF(G230="","ไม่ครบ","ครบ")</f>
        <v/>
      </c>
      <c r="K230" s="8">
        <f>IF(OR(F230="",G230=""),"ไม่ผ่าน",IF(H230&gt;=90,"ผ่าน","ไม่ผ่าน"))</f>
        <v/>
      </c>
      <c r="L230" s="8">
        <f>IF(K230="ผ่าน",1,0)</f>
        <v/>
      </c>
      <c r="N230" s="7" t="n"/>
    </row>
    <row r="231">
      <c r="F231" s="7" t="n"/>
      <c r="G231" s="7" t="n"/>
      <c r="H231" s="8">
        <f>IF(OR(F231="",G231=""),"",MAX(0,ROUND((G231-F231)*1440,0)))</f>
        <v/>
      </c>
      <c r="I231" s="8">
        <f>IF(F231="","ไม่ครบ","ครบ")</f>
        <v/>
      </c>
      <c r="J231" s="8">
        <f>IF(G231="","ไม่ครบ","ครบ")</f>
        <v/>
      </c>
      <c r="K231" s="8">
        <f>IF(OR(F231="",G231=""),"ไม่ผ่าน",IF(H231&gt;=90,"ผ่าน","ไม่ผ่าน"))</f>
        <v/>
      </c>
      <c r="L231" s="8">
        <f>IF(K231="ผ่าน",1,0)</f>
        <v/>
      </c>
      <c r="N231" s="7" t="n"/>
    </row>
    <row r="232">
      <c r="F232" s="7" t="n"/>
      <c r="G232" s="7" t="n"/>
      <c r="H232" s="8">
        <f>IF(OR(F232="",G232=""),"",MAX(0,ROUND((G232-F232)*1440,0)))</f>
        <v/>
      </c>
      <c r="I232" s="8">
        <f>IF(F232="","ไม่ครบ","ครบ")</f>
        <v/>
      </c>
      <c r="J232" s="8">
        <f>IF(G232="","ไม่ครบ","ครบ")</f>
        <v/>
      </c>
      <c r="K232" s="8">
        <f>IF(OR(F232="",G232=""),"ไม่ผ่าน",IF(H232&gt;=90,"ผ่าน","ไม่ผ่าน"))</f>
        <v/>
      </c>
      <c r="L232" s="8">
        <f>IF(K232="ผ่าน",1,0)</f>
        <v/>
      </c>
      <c r="N232" s="7" t="n"/>
    </row>
    <row r="233">
      <c r="F233" s="7" t="n"/>
      <c r="G233" s="7" t="n"/>
      <c r="H233" s="8">
        <f>IF(OR(F233="",G233=""),"",MAX(0,ROUND((G233-F233)*1440,0)))</f>
        <v/>
      </c>
      <c r="I233" s="8">
        <f>IF(F233="","ไม่ครบ","ครบ")</f>
        <v/>
      </c>
      <c r="J233" s="8">
        <f>IF(G233="","ไม่ครบ","ครบ")</f>
        <v/>
      </c>
      <c r="K233" s="8">
        <f>IF(OR(F233="",G233=""),"ไม่ผ่าน",IF(H233&gt;=90,"ผ่าน","ไม่ผ่าน"))</f>
        <v/>
      </c>
      <c r="L233" s="8">
        <f>IF(K233="ผ่าน",1,0)</f>
        <v/>
      </c>
      <c r="N233" s="7" t="n"/>
    </row>
    <row r="234">
      <c r="F234" s="7" t="n"/>
      <c r="G234" s="7" t="n"/>
      <c r="H234" s="8">
        <f>IF(OR(F234="",G234=""),"",MAX(0,ROUND((G234-F234)*1440,0)))</f>
        <v/>
      </c>
      <c r="I234" s="8">
        <f>IF(F234="","ไม่ครบ","ครบ")</f>
        <v/>
      </c>
      <c r="J234" s="8">
        <f>IF(G234="","ไม่ครบ","ครบ")</f>
        <v/>
      </c>
      <c r="K234" s="8">
        <f>IF(OR(F234="",G234=""),"ไม่ผ่าน",IF(H234&gt;=90,"ผ่าน","ไม่ผ่าน"))</f>
        <v/>
      </c>
      <c r="L234" s="8">
        <f>IF(K234="ผ่าน",1,0)</f>
        <v/>
      </c>
      <c r="N234" s="7" t="n"/>
    </row>
    <row r="235">
      <c r="F235" s="7" t="n"/>
      <c r="G235" s="7" t="n"/>
      <c r="H235" s="8">
        <f>IF(OR(F235="",G235=""),"",MAX(0,ROUND((G235-F235)*1440,0)))</f>
        <v/>
      </c>
      <c r="I235" s="8">
        <f>IF(F235="","ไม่ครบ","ครบ")</f>
        <v/>
      </c>
      <c r="J235" s="8">
        <f>IF(G235="","ไม่ครบ","ครบ")</f>
        <v/>
      </c>
      <c r="K235" s="8">
        <f>IF(OR(F235="",G235=""),"ไม่ผ่าน",IF(H235&gt;=90,"ผ่าน","ไม่ผ่าน"))</f>
        <v/>
      </c>
      <c r="L235" s="8">
        <f>IF(K235="ผ่าน",1,0)</f>
        <v/>
      </c>
      <c r="N235" s="7" t="n"/>
    </row>
    <row r="236">
      <c r="F236" s="7" t="n"/>
      <c r="G236" s="7" t="n"/>
      <c r="H236" s="8">
        <f>IF(OR(F236="",G236=""),"",MAX(0,ROUND((G236-F236)*1440,0)))</f>
        <v/>
      </c>
      <c r="I236" s="8">
        <f>IF(F236="","ไม่ครบ","ครบ")</f>
        <v/>
      </c>
      <c r="J236" s="8">
        <f>IF(G236="","ไม่ครบ","ครบ")</f>
        <v/>
      </c>
      <c r="K236" s="8">
        <f>IF(OR(F236="",G236=""),"ไม่ผ่าน",IF(H236&gt;=90,"ผ่าน","ไม่ผ่าน"))</f>
        <v/>
      </c>
      <c r="L236" s="8">
        <f>IF(K236="ผ่าน",1,0)</f>
        <v/>
      </c>
      <c r="N236" s="7" t="n"/>
    </row>
    <row r="237">
      <c r="F237" s="7" t="n"/>
      <c r="G237" s="7" t="n"/>
      <c r="H237" s="8">
        <f>IF(OR(F237="",G237=""),"",MAX(0,ROUND((G237-F237)*1440,0)))</f>
        <v/>
      </c>
      <c r="I237" s="8">
        <f>IF(F237="","ไม่ครบ","ครบ")</f>
        <v/>
      </c>
      <c r="J237" s="8">
        <f>IF(G237="","ไม่ครบ","ครบ")</f>
        <v/>
      </c>
      <c r="K237" s="8">
        <f>IF(OR(F237="",G237=""),"ไม่ผ่าน",IF(H237&gt;=90,"ผ่าน","ไม่ผ่าน"))</f>
        <v/>
      </c>
      <c r="L237" s="8">
        <f>IF(K237="ผ่าน",1,0)</f>
        <v/>
      </c>
      <c r="N237" s="7" t="n"/>
    </row>
    <row r="238">
      <c r="F238" s="7" t="n"/>
      <c r="G238" s="7" t="n"/>
      <c r="H238" s="8">
        <f>IF(OR(F238="",G238=""),"",MAX(0,ROUND((G238-F238)*1440,0)))</f>
        <v/>
      </c>
      <c r="I238" s="8">
        <f>IF(F238="","ไม่ครบ","ครบ")</f>
        <v/>
      </c>
      <c r="J238" s="8">
        <f>IF(G238="","ไม่ครบ","ครบ")</f>
        <v/>
      </c>
      <c r="K238" s="8">
        <f>IF(OR(F238="",G238=""),"ไม่ผ่าน",IF(H238&gt;=90,"ผ่าน","ไม่ผ่าน"))</f>
        <v/>
      </c>
      <c r="L238" s="8">
        <f>IF(K238="ผ่าน",1,0)</f>
        <v/>
      </c>
      <c r="N238" s="7" t="n"/>
    </row>
    <row r="239">
      <c r="F239" s="7" t="n"/>
      <c r="G239" s="7" t="n"/>
      <c r="H239" s="8">
        <f>IF(OR(F239="",G239=""),"",MAX(0,ROUND((G239-F239)*1440,0)))</f>
        <v/>
      </c>
      <c r="I239" s="8">
        <f>IF(F239="","ไม่ครบ","ครบ")</f>
        <v/>
      </c>
      <c r="J239" s="8">
        <f>IF(G239="","ไม่ครบ","ครบ")</f>
        <v/>
      </c>
      <c r="K239" s="8">
        <f>IF(OR(F239="",G239=""),"ไม่ผ่าน",IF(H239&gt;=90,"ผ่าน","ไม่ผ่าน"))</f>
        <v/>
      </c>
      <c r="L239" s="8">
        <f>IF(K239="ผ่าน",1,0)</f>
        <v/>
      </c>
      <c r="N239" s="7" t="n"/>
    </row>
    <row r="240">
      <c r="F240" s="7" t="n"/>
      <c r="G240" s="7" t="n"/>
      <c r="H240" s="8">
        <f>IF(OR(F240="",G240=""),"",MAX(0,ROUND((G240-F240)*1440,0)))</f>
        <v/>
      </c>
      <c r="I240" s="8">
        <f>IF(F240="","ไม่ครบ","ครบ")</f>
        <v/>
      </c>
      <c r="J240" s="8">
        <f>IF(G240="","ไม่ครบ","ครบ")</f>
        <v/>
      </c>
      <c r="K240" s="8">
        <f>IF(OR(F240="",G240=""),"ไม่ผ่าน",IF(H240&gt;=90,"ผ่าน","ไม่ผ่าน"))</f>
        <v/>
      </c>
      <c r="L240" s="8">
        <f>IF(K240="ผ่าน",1,0)</f>
        <v/>
      </c>
      <c r="N240" s="7" t="n"/>
    </row>
    <row r="241">
      <c r="F241" s="7" t="n"/>
      <c r="G241" s="7" t="n"/>
      <c r="H241" s="8">
        <f>IF(OR(F241="",G241=""),"",MAX(0,ROUND((G241-F241)*1440,0)))</f>
        <v/>
      </c>
      <c r="I241" s="8">
        <f>IF(F241="","ไม่ครบ","ครบ")</f>
        <v/>
      </c>
      <c r="J241" s="8">
        <f>IF(G241="","ไม่ครบ","ครบ")</f>
        <v/>
      </c>
      <c r="K241" s="8">
        <f>IF(OR(F241="",G241=""),"ไม่ผ่าน",IF(H241&gt;=90,"ผ่าน","ไม่ผ่าน"))</f>
        <v/>
      </c>
      <c r="L241" s="8">
        <f>IF(K241="ผ่าน",1,0)</f>
        <v/>
      </c>
      <c r="N241" s="7" t="n"/>
    </row>
    <row r="242">
      <c r="F242" s="7" t="n"/>
      <c r="G242" s="7" t="n"/>
      <c r="H242" s="8">
        <f>IF(OR(F242="",G242=""),"",MAX(0,ROUND((G242-F242)*1440,0)))</f>
        <v/>
      </c>
      <c r="I242" s="8">
        <f>IF(F242="","ไม่ครบ","ครบ")</f>
        <v/>
      </c>
      <c r="J242" s="8">
        <f>IF(G242="","ไม่ครบ","ครบ")</f>
        <v/>
      </c>
      <c r="K242" s="8">
        <f>IF(OR(F242="",G242=""),"ไม่ผ่าน",IF(H242&gt;=90,"ผ่าน","ไม่ผ่าน"))</f>
        <v/>
      </c>
      <c r="L242" s="8">
        <f>IF(K242="ผ่าน",1,0)</f>
        <v/>
      </c>
      <c r="N242" s="7" t="n"/>
    </row>
    <row r="243">
      <c r="F243" s="7" t="n"/>
      <c r="G243" s="7" t="n"/>
      <c r="H243" s="8">
        <f>IF(OR(F243="",G243=""),"",MAX(0,ROUND((G243-F243)*1440,0)))</f>
        <v/>
      </c>
      <c r="I243" s="8">
        <f>IF(F243="","ไม่ครบ","ครบ")</f>
        <v/>
      </c>
      <c r="J243" s="8">
        <f>IF(G243="","ไม่ครบ","ครบ")</f>
        <v/>
      </c>
      <c r="K243" s="8">
        <f>IF(OR(F243="",G243=""),"ไม่ผ่าน",IF(H243&gt;=90,"ผ่าน","ไม่ผ่าน"))</f>
        <v/>
      </c>
      <c r="L243" s="8">
        <f>IF(K243="ผ่าน",1,0)</f>
        <v/>
      </c>
      <c r="N243" s="7" t="n"/>
    </row>
    <row r="244">
      <c r="F244" s="7" t="n"/>
      <c r="G244" s="7" t="n"/>
      <c r="H244" s="8">
        <f>IF(OR(F244="",G244=""),"",MAX(0,ROUND((G244-F244)*1440,0)))</f>
        <v/>
      </c>
      <c r="I244" s="8">
        <f>IF(F244="","ไม่ครบ","ครบ")</f>
        <v/>
      </c>
      <c r="J244" s="8">
        <f>IF(G244="","ไม่ครบ","ครบ")</f>
        <v/>
      </c>
      <c r="K244" s="8">
        <f>IF(OR(F244="",G244=""),"ไม่ผ่าน",IF(H244&gt;=90,"ผ่าน","ไม่ผ่าน"))</f>
        <v/>
      </c>
      <c r="L244" s="8">
        <f>IF(K244="ผ่าน",1,0)</f>
        <v/>
      </c>
      <c r="N244" s="7" t="n"/>
    </row>
    <row r="245">
      <c r="F245" s="7" t="n"/>
      <c r="G245" s="7" t="n"/>
      <c r="H245" s="8">
        <f>IF(OR(F245="",G245=""),"",MAX(0,ROUND((G245-F245)*1440,0)))</f>
        <v/>
      </c>
      <c r="I245" s="8">
        <f>IF(F245="","ไม่ครบ","ครบ")</f>
        <v/>
      </c>
      <c r="J245" s="8">
        <f>IF(G245="","ไม่ครบ","ครบ")</f>
        <v/>
      </c>
      <c r="K245" s="8">
        <f>IF(OR(F245="",G245=""),"ไม่ผ่าน",IF(H245&gt;=90,"ผ่าน","ไม่ผ่าน"))</f>
        <v/>
      </c>
      <c r="L245" s="8">
        <f>IF(K245="ผ่าน",1,0)</f>
        <v/>
      </c>
      <c r="N245" s="7" t="n"/>
    </row>
    <row r="246">
      <c r="F246" s="7" t="n"/>
      <c r="G246" s="7" t="n"/>
      <c r="H246" s="8">
        <f>IF(OR(F246="",G246=""),"",MAX(0,ROUND((G246-F246)*1440,0)))</f>
        <v/>
      </c>
      <c r="I246" s="8">
        <f>IF(F246="","ไม่ครบ","ครบ")</f>
        <v/>
      </c>
      <c r="J246" s="8">
        <f>IF(G246="","ไม่ครบ","ครบ")</f>
        <v/>
      </c>
      <c r="K246" s="8">
        <f>IF(OR(F246="",G246=""),"ไม่ผ่าน",IF(H246&gt;=90,"ผ่าน","ไม่ผ่าน"))</f>
        <v/>
      </c>
      <c r="L246" s="8">
        <f>IF(K246="ผ่าน",1,0)</f>
        <v/>
      </c>
      <c r="N246" s="7" t="n"/>
    </row>
    <row r="247">
      <c r="F247" s="7" t="n"/>
      <c r="G247" s="7" t="n"/>
      <c r="H247" s="8">
        <f>IF(OR(F247="",G247=""),"",MAX(0,ROUND((G247-F247)*1440,0)))</f>
        <v/>
      </c>
      <c r="I247" s="8">
        <f>IF(F247="","ไม่ครบ","ครบ")</f>
        <v/>
      </c>
      <c r="J247" s="8">
        <f>IF(G247="","ไม่ครบ","ครบ")</f>
        <v/>
      </c>
      <c r="K247" s="8">
        <f>IF(OR(F247="",G247=""),"ไม่ผ่าน",IF(H247&gt;=90,"ผ่าน","ไม่ผ่าน"))</f>
        <v/>
      </c>
      <c r="L247" s="8">
        <f>IF(K247="ผ่าน",1,0)</f>
        <v/>
      </c>
      <c r="N247" s="7" t="n"/>
    </row>
    <row r="248">
      <c r="F248" s="7" t="n"/>
      <c r="G248" s="7" t="n"/>
      <c r="H248" s="8">
        <f>IF(OR(F248="",G248=""),"",MAX(0,ROUND((G248-F248)*1440,0)))</f>
        <v/>
      </c>
      <c r="I248" s="8">
        <f>IF(F248="","ไม่ครบ","ครบ")</f>
        <v/>
      </c>
      <c r="J248" s="8">
        <f>IF(G248="","ไม่ครบ","ครบ")</f>
        <v/>
      </c>
      <c r="K248" s="8">
        <f>IF(OR(F248="",G248=""),"ไม่ผ่าน",IF(H248&gt;=90,"ผ่าน","ไม่ผ่าน"))</f>
        <v/>
      </c>
      <c r="L248" s="8">
        <f>IF(K248="ผ่าน",1,0)</f>
        <v/>
      </c>
      <c r="N248" s="7" t="n"/>
    </row>
    <row r="249">
      <c r="F249" s="7" t="n"/>
      <c r="G249" s="7" t="n"/>
      <c r="H249" s="8">
        <f>IF(OR(F249="",G249=""),"",MAX(0,ROUND((G249-F249)*1440,0)))</f>
        <v/>
      </c>
      <c r="I249" s="8">
        <f>IF(F249="","ไม่ครบ","ครบ")</f>
        <v/>
      </c>
      <c r="J249" s="8">
        <f>IF(G249="","ไม่ครบ","ครบ")</f>
        <v/>
      </c>
      <c r="K249" s="8">
        <f>IF(OR(F249="",G249=""),"ไม่ผ่าน",IF(H249&gt;=90,"ผ่าน","ไม่ผ่าน"))</f>
        <v/>
      </c>
      <c r="L249" s="8">
        <f>IF(K249="ผ่าน",1,0)</f>
        <v/>
      </c>
      <c r="N249" s="7" t="n"/>
    </row>
    <row r="250">
      <c r="F250" s="7" t="n"/>
      <c r="G250" s="7" t="n"/>
      <c r="H250" s="8">
        <f>IF(OR(F250="",G250=""),"",MAX(0,ROUND((G250-F250)*1440,0)))</f>
        <v/>
      </c>
      <c r="I250" s="8">
        <f>IF(F250="","ไม่ครบ","ครบ")</f>
        <v/>
      </c>
      <c r="J250" s="8">
        <f>IF(G250="","ไม่ครบ","ครบ")</f>
        <v/>
      </c>
      <c r="K250" s="8">
        <f>IF(OR(F250="",G250=""),"ไม่ผ่าน",IF(H250&gt;=90,"ผ่าน","ไม่ผ่าน"))</f>
        <v/>
      </c>
      <c r="L250" s="8">
        <f>IF(K250="ผ่าน",1,0)</f>
        <v/>
      </c>
      <c r="N250" s="7" t="n"/>
    </row>
    <row r="251">
      <c r="F251" s="7" t="n"/>
      <c r="G251" s="7" t="n"/>
      <c r="H251" s="8">
        <f>IF(OR(F251="",G251=""),"",MAX(0,ROUND((G251-F251)*1440,0)))</f>
        <v/>
      </c>
      <c r="I251" s="8">
        <f>IF(F251="","ไม่ครบ","ครบ")</f>
        <v/>
      </c>
      <c r="J251" s="8">
        <f>IF(G251="","ไม่ครบ","ครบ")</f>
        <v/>
      </c>
      <c r="K251" s="8">
        <f>IF(OR(F251="",G251=""),"ไม่ผ่าน",IF(H251&gt;=90,"ผ่าน","ไม่ผ่าน"))</f>
        <v/>
      </c>
      <c r="L251" s="8">
        <f>IF(K251="ผ่าน",1,0)</f>
        <v/>
      </c>
      <c r="N251" s="7" t="n"/>
    </row>
    <row r="252">
      <c r="F252" s="7" t="n"/>
      <c r="G252" s="7" t="n"/>
      <c r="H252" s="8">
        <f>IF(OR(F252="",G252=""),"",MAX(0,ROUND((G252-F252)*1440,0)))</f>
        <v/>
      </c>
      <c r="I252" s="8">
        <f>IF(F252="","ไม่ครบ","ครบ")</f>
        <v/>
      </c>
      <c r="J252" s="8">
        <f>IF(G252="","ไม่ครบ","ครบ")</f>
        <v/>
      </c>
      <c r="K252" s="8">
        <f>IF(OR(F252="",G252=""),"ไม่ผ่าน",IF(H252&gt;=90,"ผ่าน","ไม่ผ่าน"))</f>
        <v/>
      </c>
      <c r="L252" s="8">
        <f>IF(K252="ผ่าน",1,0)</f>
        <v/>
      </c>
      <c r="N252" s="7" t="n"/>
    </row>
    <row r="253">
      <c r="F253" s="7" t="n"/>
      <c r="G253" s="7" t="n"/>
      <c r="H253" s="8">
        <f>IF(OR(F253="",G253=""),"",MAX(0,ROUND((G253-F253)*1440,0)))</f>
        <v/>
      </c>
      <c r="I253" s="8">
        <f>IF(F253="","ไม่ครบ","ครบ")</f>
        <v/>
      </c>
      <c r="J253" s="8">
        <f>IF(G253="","ไม่ครบ","ครบ")</f>
        <v/>
      </c>
      <c r="K253" s="8">
        <f>IF(OR(F253="",G253=""),"ไม่ผ่าน",IF(H253&gt;=90,"ผ่าน","ไม่ผ่าน"))</f>
        <v/>
      </c>
      <c r="L253" s="8">
        <f>IF(K253="ผ่าน",1,0)</f>
        <v/>
      </c>
      <c r="N253" s="7" t="n"/>
    </row>
    <row r="254">
      <c r="F254" s="7" t="n"/>
      <c r="G254" s="7" t="n"/>
      <c r="H254" s="8">
        <f>IF(OR(F254="",G254=""),"",MAX(0,ROUND((G254-F254)*1440,0)))</f>
        <v/>
      </c>
      <c r="I254" s="8">
        <f>IF(F254="","ไม่ครบ","ครบ")</f>
        <v/>
      </c>
      <c r="J254" s="8">
        <f>IF(G254="","ไม่ครบ","ครบ")</f>
        <v/>
      </c>
      <c r="K254" s="8">
        <f>IF(OR(F254="",G254=""),"ไม่ผ่าน",IF(H254&gt;=90,"ผ่าน","ไม่ผ่าน"))</f>
        <v/>
      </c>
      <c r="L254" s="8">
        <f>IF(K254="ผ่าน",1,0)</f>
        <v/>
      </c>
      <c r="N254" s="7" t="n"/>
    </row>
    <row r="255">
      <c r="F255" s="7" t="n"/>
      <c r="G255" s="7" t="n"/>
      <c r="H255" s="8">
        <f>IF(OR(F255="",G255=""),"",MAX(0,ROUND((G255-F255)*1440,0)))</f>
        <v/>
      </c>
      <c r="I255" s="8">
        <f>IF(F255="","ไม่ครบ","ครบ")</f>
        <v/>
      </c>
      <c r="J255" s="8">
        <f>IF(G255="","ไม่ครบ","ครบ")</f>
        <v/>
      </c>
      <c r="K255" s="8">
        <f>IF(OR(F255="",G255=""),"ไม่ผ่าน",IF(H255&gt;=90,"ผ่าน","ไม่ผ่าน"))</f>
        <v/>
      </c>
      <c r="L255" s="8">
        <f>IF(K255="ผ่าน",1,0)</f>
        <v/>
      </c>
      <c r="N255" s="7" t="n"/>
    </row>
    <row r="256">
      <c r="F256" s="7" t="n"/>
      <c r="G256" s="7" t="n"/>
      <c r="H256" s="8">
        <f>IF(OR(F256="",G256=""),"",MAX(0,ROUND((G256-F256)*1440,0)))</f>
        <v/>
      </c>
      <c r="I256" s="8">
        <f>IF(F256="","ไม่ครบ","ครบ")</f>
        <v/>
      </c>
      <c r="J256" s="8">
        <f>IF(G256="","ไม่ครบ","ครบ")</f>
        <v/>
      </c>
      <c r="K256" s="8">
        <f>IF(OR(F256="",G256=""),"ไม่ผ่าน",IF(H256&gt;=90,"ผ่าน","ไม่ผ่าน"))</f>
        <v/>
      </c>
      <c r="L256" s="8">
        <f>IF(K256="ผ่าน",1,0)</f>
        <v/>
      </c>
      <c r="N256" s="7" t="n"/>
    </row>
    <row r="257">
      <c r="F257" s="7" t="n"/>
      <c r="G257" s="7" t="n"/>
      <c r="H257" s="8">
        <f>IF(OR(F257="",G257=""),"",MAX(0,ROUND((G257-F257)*1440,0)))</f>
        <v/>
      </c>
      <c r="I257" s="8">
        <f>IF(F257="","ไม่ครบ","ครบ")</f>
        <v/>
      </c>
      <c r="J257" s="8">
        <f>IF(G257="","ไม่ครบ","ครบ")</f>
        <v/>
      </c>
      <c r="K257" s="8">
        <f>IF(OR(F257="",G257=""),"ไม่ผ่าน",IF(H257&gt;=90,"ผ่าน","ไม่ผ่าน"))</f>
        <v/>
      </c>
      <c r="L257" s="8">
        <f>IF(K257="ผ่าน",1,0)</f>
        <v/>
      </c>
      <c r="N257" s="7" t="n"/>
    </row>
    <row r="258">
      <c r="F258" s="7" t="n"/>
      <c r="G258" s="7" t="n"/>
      <c r="H258" s="8">
        <f>IF(OR(F258="",G258=""),"",MAX(0,ROUND((G258-F258)*1440,0)))</f>
        <v/>
      </c>
      <c r="I258" s="8">
        <f>IF(F258="","ไม่ครบ","ครบ")</f>
        <v/>
      </c>
      <c r="J258" s="8">
        <f>IF(G258="","ไม่ครบ","ครบ")</f>
        <v/>
      </c>
      <c r="K258" s="8">
        <f>IF(OR(F258="",G258=""),"ไม่ผ่าน",IF(H258&gt;=90,"ผ่าน","ไม่ผ่าน"))</f>
        <v/>
      </c>
      <c r="L258" s="8">
        <f>IF(K258="ผ่าน",1,0)</f>
        <v/>
      </c>
      <c r="N258" s="7" t="n"/>
    </row>
    <row r="259">
      <c r="F259" s="7" t="n"/>
      <c r="G259" s="7" t="n"/>
      <c r="H259" s="8">
        <f>IF(OR(F259="",G259=""),"",MAX(0,ROUND((G259-F259)*1440,0)))</f>
        <v/>
      </c>
      <c r="I259" s="8">
        <f>IF(F259="","ไม่ครบ","ครบ")</f>
        <v/>
      </c>
      <c r="J259" s="8">
        <f>IF(G259="","ไม่ครบ","ครบ")</f>
        <v/>
      </c>
      <c r="K259" s="8">
        <f>IF(OR(F259="",G259=""),"ไม่ผ่าน",IF(H259&gt;=90,"ผ่าน","ไม่ผ่าน"))</f>
        <v/>
      </c>
      <c r="L259" s="8">
        <f>IF(K259="ผ่าน",1,0)</f>
        <v/>
      </c>
      <c r="N259" s="7" t="n"/>
    </row>
    <row r="260">
      <c r="F260" s="7" t="n"/>
      <c r="G260" s="7" t="n"/>
      <c r="H260" s="8">
        <f>IF(OR(F260="",G260=""),"",MAX(0,ROUND((G260-F260)*1440,0)))</f>
        <v/>
      </c>
      <c r="I260" s="8">
        <f>IF(F260="","ไม่ครบ","ครบ")</f>
        <v/>
      </c>
      <c r="J260" s="8">
        <f>IF(G260="","ไม่ครบ","ครบ")</f>
        <v/>
      </c>
      <c r="K260" s="8">
        <f>IF(OR(F260="",G260=""),"ไม่ผ่าน",IF(H260&gt;=90,"ผ่าน","ไม่ผ่าน"))</f>
        <v/>
      </c>
      <c r="L260" s="8">
        <f>IF(K260="ผ่าน",1,0)</f>
        <v/>
      </c>
      <c r="N260" s="7" t="n"/>
    </row>
    <row r="261">
      <c r="F261" s="7" t="n"/>
      <c r="G261" s="7" t="n"/>
      <c r="H261" s="8">
        <f>IF(OR(F261="",G261=""),"",MAX(0,ROUND((G261-F261)*1440,0)))</f>
        <v/>
      </c>
      <c r="I261" s="8">
        <f>IF(F261="","ไม่ครบ","ครบ")</f>
        <v/>
      </c>
      <c r="J261" s="8">
        <f>IF(G261="","ไม่ครบ","ครบ")</f>
        <v/>
      </c>
      <c r="K261" s="8">
        <f>IF(OR(F261="",G261=""),"ไม่ผ่าน",IF(H261&gt;=90,"ผ่าน","ไม่ผ่าน"))</f>
        <v/>
      </c>
      <c r="L261" s="8">
        <f>IF(K261="ผ่าน",1,0)</f>
        <v/>
      </c>
      <c r="N261" s="7" t="n"/>
    </row>
    <row r="262">
      <c r="F262" s="7" t="n"/>
      <c r="G262" s="7" t="n"/>
      <c r="H262" s="8">
        <f>IF(OR(F262="",G262=""),"",MAX(0,ROUND((G262-F262)*1440,0)))</f>
        <v/>
      </c>
      <c r="I262" s="8">
        <f>IF(F262="","ไม่ครบ","ครบ")</f>
        <v/>
      </c>
      <c r="J262" s="8">
        <f>IF(G262="","ไม่ครบ","ครบ")</f>
        <v/>
      </c>
      <c r="K262" s="8">
        <f>IF(OR(F262="",G262=""),"ไม่ผ่าน",IF(H262&gt;=90,"ผ่าน","ไม่ผ่าน"))</f>
        <v/>
      </c>
      <c r="L262" s="8">
        <f>IF(K262="ผ่าน",1,0)</f>
        <v/>
      </c>
      <c r="N262" s="7" t="n"/>
    </row>
    <row r="263">
      <c r="F263" s="7" t="n"/>
      <c r="G263" s="7" t="n"/>
      <c r="H263" s="8">
        <f>IF(OR(F263="",G263=""),"",MAX(0,ROUND((G263-F263)*1440,0)))</f>
        <v/>
      </c>
      <c r="I263" s="8">
        <f>IF(F263="","ไม่ครบ","ครบ")</f>
        <v/>
      </c>
      <c r="J263" s="8">
        <f>IF(G263="","ไม่ครบ","ครบ")</f>
        <v/>
      </c>
      <c r="K263" s="8">
        <f>IF(OR(F263="",G263=""),"ไม่ผ่าน",IF(H263&gt;=90,"ผ่าน","ไม่ผ่าน"))</f>
        <v/>
      </c>
      <c r="L263" s="8">
        <f>IF(K263="ผ่าน",1,0)</f>
        <v/>
      </c>
      <c r="N263" s="7" t="n"/>
    </row>
    <row r="264">
      <c r="F264" s="7" t="n"/>
      <c r="G264" s="7" t="n"/>
      <c r="H264" s="8">
        <f>IF(OR(F264="",G264=""),"",MAX(0,ROUND((G264-F264)*1440,0)))</f>
        <v/>
      </c>
      <c r="I264" s="8">
        <f>IF(F264="","ไม่ครบ","ครบ")</f>
        <v/>
      </c>
      <c r="J264" s="8">
        <f>IF(G264="","ไม่ครบ","ครบ")</f>
        <v/>
      </c>
      <c r="K264" s="8">
        <f>IF(OR(F264="",G264=""),"ไม่ผ่าน",IF(H264&gt;=90,"ผ่าน","ไม่ผ่าน"))</f>
        <v/>
      </c>
      <c r="L264" s="8">
        <f>IF(K264="ผ่าน",1,0)</f>
        <v/>
      </c>
      <c r="N264" s="7" t="n"/>
    </row>
    <row r="265">
      <c r="F265" s="7" t="n"/>
      <c r="G265" s="7" t="n"/>
      <c r="H265" s="8">
        <f>IF(OR(F265="",G265=""),"",MAX(0,ROUND((G265-F265)*1440,0)))</f>
        <v/>
      </c>
      <c r="I265" s="8">
        <f>IF(F265="","ไม่ครบ","ครบ")</f>
        <v/>
      </c>
      <c r="J265" s="8">
        <f>IF(G265="","ไม่ครบ","ครบ")</f>
        <v/>
      </c>
      <c r="K265" s="8">
        <f>IF(OR(F265="",G265=""),"ไม่ผ่าน",IF(H265&gt;=90,"ผ่าน","ไม่ผ่าน"))</f>
        <v/>
      </c>
      <c r="L265" s="8">
        <f>IF(K265="ผ่าน",1,0)</f>
        <v/>
      </c>
      <c r="N265" s="7" t="n"/>
    </row>
    <row r="266">
      <c r="F266" s="7" t="n"/>
      <c r="G266" s="7" t="n"/>
      <c r="H266" s="8">
        <f>IF(OR(F266="",G266=""),"",MAX(0,ROUND((G266-F266)*1440,0)))</f>
        <v/>
      </c>
      <c r="I266" s="8">
        <f>IF(F266="","ไม่ครบ","ครบ")</f>
        <v/>
      </c>
      <c r="J266" s="8">
        <f>IF(G266="","ไม่ครบ","ครบ")</f>
        <v/>
      </c>
      <c r="K266" s="8">
        <f>IF(OR(F266="",G266=""),"ไม่ผ่าน",IF(H266&gt;=90,"ผ่าน","ไม่ผ่าน"))</f>
        <v/>
      </c>
      <c r="L266" s="8">
        <f>IF(K266="ผ่าน",1,0)</f>
        <v/>
      </c>
      <c r="N266" s="7" t="n"/>
    </row>
    <row r="267">
      <c r="F267" s="7" t="n"/>
      <c r="G267" s="7" t="n"/>
      <c r="H267" s="8">
        <f>IF(OR(F267="",G267=""),"",MAX(0,ROUND((G267-F267)*1440,0)))</f>
        <v/>
      </c>
      <c r="I267" s="8">
        <f>IF(F267="","ไม่ครบ","ครบ")</f>
        <v/>
      </c>
      <c r="J267" s="8">
        <f>IF(G267="","ไม่ครบ","ครบ")</f>
        <v/>
      </c>
      <c r="K267" s="8">
        <f>IF(OR(F267="",G267=""),"ไม่ผ่าน",IF(H267&gt;=90,"ผ่าน","ไม่ผ่าน"))</f>
        <v/>
      </c>
      <c r="L267" s="8">
        <f>IF(K267="ผ่าน",1,0)</f>
        <v/>
      </c>
      <c r="N267" s="7" t="n"/>
    </row>
    <row r="268">
      <c r="F268" s="7" t="n"/>
      <c r="G268" s="7" t="n"/>
      <c r="H268" s="8">
        <f>IF(OR(F268="",G268=""),"",MAX(0,ROUND((G268-F268)*1440,0)))</f>
        <v/>
      </c>
      <c r="I268" s="8">
        <f>IF(F268="","ไม่ครบ","ครบ")</f>
        <v/>
      </c>
      <c r="J268" s="8">
        <f>IF(G268="","ไม่ครบ","ครบ")</f>
        <v/>
      </c>
      <c r="K268" s="8">
        <f>IF(OR(F268="",G268=""),"ไม่ผ่าน",IF(H268&gt;=90,"ผ่าน","ไม่ผ่าน"))</f>
        <v/>
      </c>
      <c r="L268" s="8">
        <f>IF(K268="ผ่าน",1,0)</f>
        <v/>
      </c>
      <c r="N268" s="7" t="n"/>
    </row>
    <row r="269">
      <c r="F269" s="7" t="n"/>
      <c r="G269" s="7" t="n"/>
      <c r="H269" s="8">
        <f>IF(OR(F269="",G269=""),"",MAX(0,ROUND((G269-F269)*1440,0)))</f>
        <v/>
      </c>
      <c r="I269" s="8">
        <f>IF(F269="","ไม่ครบ","ครบ")</f>
        <v/>
      </c>
      <c r="J269" s="8">
        <f>IF(G269="","ไม่ครบ","ครบ")</f>
        <v/>
      </c>
      <c r="K269" s="8">
        <f>IF(OR(F269="",G269=""),"ไม่ผ่าน",IF(H269&gt;=90,"ผ่าน","ไม่ผ่าน"))</f>
        <v/>
      </c>
      <c r="L269" s="8">
        <f>IF(K269="ผ่าน",1,0)</f>
        <v/>
      </c>
      <c r="N269" s="7" t="n"/>
    </row>
    <row r="270">
      <c r="F270" s="7" t="n"/>
      <c r="G270" s="7" t="n"/>
      <c r="H270" s="8">
        <f>IF(OR(F270="",G270=""),"",MAX(0,ROUND((G270-F270)*1440,0)))</f>
        <v/>
      </c>
      <c r="I270" s="8">
        <f>IF(F270="","ไม่ครบ","ครบ")</f>
        <v/>
      </c>
      <c r="J270" s="8">
        <f>IF(G270="","ไม่ครบ","ครบ")</f>
        <v/>
      </c>
      <c r="K270" s="8">
        <f>IF(OR(F270="",G270=""),"ไม่ผ่าน",IF(H270&gt;=90,"ผ่าน","ไม่ผ่าน"))</f>
        <v/>
      </c>
      <c r="L270" s="8">
        <f>IF(K270="ผ่าน",1,0)</f>
        <v/>
      </c>
      <c r="N270" s="7" t="n"/>
    </row>
    <row r="271">
      <c r="F271" s="7" t="n"/>
      <c r="G271" s="7" t="n"/>
      <c r="H271" s="8">
        <f>IF(OR(F271="",G271=""),"",MAX(0,ROUND((G271-F271)*1440,0)))</f>
        <v/>
      </c>
      <c r="I271" s="8">
        <f>IF(F271="","ไม่ครบ","ครบ")</f>
        <v/>
      </c>
      <c r="J271" s="8">
        <f>IF(G271="","ไม่ครบ","ครบ")</f>
        <v/>
      </c>
      <c r="K271" s="8">
        <f>IF(OR(F271="",G271=""),"ไม่ผ่าน",IF(H271&gt;=90,"ผ่าน","ไม่ผ่าน"))</f>
        <v/>
      </c>
      <c r="L271" s="8">
        <f>IF(K271="ผ่าน",1,0)</f>
        <v/>
      </c>
      <c r="N271" s="7" t="n"/>
    </row>
    <row r="272">
      <c r="F272" s="7" t="n"/>
      <c r="G272" s="7" t="n"/>
      <c r="H272" s="8">
        <f>IF(OR(F272="",G272=""),"",MAX(0,ROUND((G272-F272)*1440,0)))</f>
        <v/>
      </c>
      <c r="I272" s="8">
        <f>IF(F272="","ไม่ครบ","ครบ")</f>
        <v/>
      </c>
      <c r="J272" s="8">
        <f>IF(G272="","ไม่ครบ","ครบ")</f>
        <v/>
      </c>
      <c r="K272" s="8">
        <f>IF(OR(F272="",G272=""),"ไม่ผ่าน",IF(H272&gt;=90,"ผ่าน","ไม่ผ่าน"))</f>
        <v/>
      </c>
      <c r="L272" s="8">
        <f>IF(K272="ผ่าน",1,0)</f>
        <v/>
      </c>
      <c r="N272" s="7" t="n"/>
    </row>
    <row r="273">
      <c r="F273" s="7" t="n"/>
      <c r="G273" s="7" t="n"/>
      <c r="H273" s="8">
        <f>IF(OR(F273="",G273=""),"",MAX(0,ROUND((G273-F273)*1440,0)))</f>
        <v/>
      </c>
      <c r="I273" s="8">
        <f>IF(F273="","ไม่ครบ","ครบ")</f>
        <v/>
      </c>
      <c r="J273" s="8">
        <f>IF(G273="","ไม่ครบ","ครบ")</f>
        <v/>
      </c>
      <c r="K273" s="8">
        <f>IF(OR(F273="",G273=""),"ไม่ผ่าน",IF(H273&gt;=90,"ผ่าน","ไม่ผ่าน"))</f>
        <v/>
      </c>
      <c r="L273" s="8">
        <f>IF(K273="ผ่าน",1,0)</f>
        <v/>
      </c>
      <c r="N273" s="7" t="n"/>
    </row>
    <row r="274">
      <c r="F274" s="7" t="n"/>
      <c r="G274" s="7" t="n"/>
      <c r="H274" s="8">
        <f>IF(OR(F274="",G274=""),"",MAX(0,ROUND((G274-F274)*1440,0)))</f>
        <v/>
      </c>
      <c r="I274" s="8">
        <f>IF(F274="","ไม่ครบ","ครบ")</f>
        <v/>
      </c>
      <c r="J274" s="8">
        <f>IF(G274="","ไม่ครบ","ครบ")</f>
        <v/>
      </c>
      <c r="K274" s="8">
        <f>IF(OR(F274="",G274=""),"ไม่ผ่าน",IF(H274&gt;=90,"ผ่าน","ไม่ผ่าน"))</f>
        <v/>
      </c>
      <c r="L274" s="8">
        <f>IF(K274="ผ่าน",1,0)</f>
        <v/>
      </c>
      <c r="N274" s="7" t="n"/>
    </row>
    <row r="275">
      <c r="F275" s="7" t="n"/>
      <c r="G275" s="7" t="n"/>
      <c r="H275" s="8">
        <f>IF(OR(F275="",G275=""),"",MAX(0,ROUND((G275-F275)*1440,0)))</f>
        <v/>
      </c>
      <c r="I275" s="8">
        <f>IF(F275="","ไม่ครบ","ครบ")</f>
        <v/>
      </c>
      <c r="J275" s="8">
        <f>IF(G275="","ไม่ครบ","ครบ")</f>
        <v/>
      </c>
      <c r="K275" s="8">
        <f>IF(OR(F275="",G275=""),"ไม่ผ่าน",IF(H275&gt;=90,"ผ่าน","ไม่ผ่าน"))</f>
        <v/>
      </c>
      <c r="L275" s="8">
        <f>IF(K275="ผ่าน",1,0)</f>
        <v/>
      </c>
      <c r="N275" s="7" t="n"/>
    </row>
    <row r="276">
      <c r="F276" s="7" t="n"/>
      <c r="G276" s="7" t="n"/>
      <c r="H276" s="8">
        <f>IF(OR(F276="",G276=""),"",MAX(0,ROUND((G276-F276)*1440,0)))</f>
        <v/>
      </c>
      <c r="I276" s="8">
        <f>IF(F276="","ไม่ครบ","ครบ")</f>
        <v/>
      </c>
      <c r="J276" s="8">
        <f>IF(G276="","ไม่ครบ","ครบ")</f>
        <v/>
      </c>
      <c r="K276" s="8">
        <f>IF(OR(F276="",G276=""),"ไม่ผ่าน",IF(H276&gt;=90,"ผ่าน","ไม่ผ่าน"))</f>
        <v/>
      </c>
      <c r="L276" s="8">
        <f>IF(K276="ผ่าน",1,0)</f>
        <v/>
      </c>
      <c r="N276" s="7" t="n"/>
    </row>
    <row r="277">
      <c r="F277" s="7" t="n"/>
      <c r="G277" s="7" t="n"/>
      <c r="H277" s="8">
        <f>IF(OR(F277="",G277=""),"",MAX(0,ROUND((G277-F277)*1440,0)))</f>
        <v/>
      </c>
      <c r="I277" s="8">
        <f>IF(F277="","ไม่ครบ","ครบ")</f>
        <v/>
      </c>
      <c r="J277" s="8">
        <f>IF(G277="","ไม่ครบ","ครบ")</f>
        <v/>
      </c>
      <c r="K277" s="8">
        <f>IF(OR(F277="",G277=""),"ไม่ผ่าน",IF(H277&gt;=90,"ผ่าน","ไม่ผ่าน"))</f>
        <v/>
      </c>
      <c r="L277" s="8">
        <f>IF(K277="ผ่าน",1,0)</f>
        <v/>
      </c>
      <c r="N277" s="7" t="n"/>
    </row>
    <row r="278">
      <c r="F278" s="7" t="n"/>
      <c r="G278" s="7" t="n"/>
      <c r="H278" s="8">
        <f>IF(OR(F278="",G278=""),"",MAX(0,ROUND((G278-F278)*1440,0)))</f>
        <v/>
      </c>
      <c r="I278" s="8">
        <f>IF(F278="","ไม่ครบ","ครบ")</f>
        <v/>
      </c>
      <c r="J278" s="8">
        <f>IF(G278="","ไม่ครบ","ครบ")</f>
        <v/>
      </c>
      <c r="K278" s="8">
        <f>IF(OR(F278="",G278=""),"ไม่ผ่าน",IF(H278&gt;=90,"ผ่าน","ไม่ผ่าน"))</f>
        <v/>
      </c>
      <c r="L278" s="8">
        <f>IF(K278="ผ่าน",1,0)</f>
        <v/>
      </c>
      <c r="N278" s="7" t="n"/>
    </row>
    <row r="279">
      <c r="F279" s="7" t="n"/>
      <c r="G279" s="7" t="n"/>
      <c r="H279" s="8">
        <f>IF(OR(F279="",G279=""),"",MAX(0,ROUND((G279-F279)*1440,0)))</f>
        <v/>
      </c>
      <c r="I279" s="8">
        <f>IF(F279="","ไม่ครบ","ครบ")</f>
        <v/>
      </c>
      <c r="J279" s="8">
        <f>IF(G279="","ไม่ครบ","ครบ")</f>
        <v/>
      </c>
      <c r="K279" s="8">
        <f>IF(OR(F279="",G279=""),"ไม่ผ่าน",IF(H279&gt;=90,"ผ่าน","ไม่ผ่าน"))</f>
        <v/>
      </c>
      <c r="L279" s="8">
        <f>IF(K279="ผ่าน",1,0)</f>
        <v/>
      </c>
      <c r="N279" s="7" t="n"/>
    </row>
    <row r="280">
      <c r="F280" s="7" t="n"/>
      <c r="G280" s="7" t="n"/>
      <c r="H280" s="8">
        <f>IF(OR(F280="",G280=""),"",MAX(0,ROUND((G280-F280)*1440,0)))</f>
        <v/>
      </c>
      <c r="I280" s="8">
        <f>IF(F280="","ไม่ครบ","ครบ")</f>
        <v/>
      </c>
      <c r="J280" s="8">
        <f>IF(G280="","ไม่ครบ","ครบ")</f>
        <v/>
      </c>
      <c r="K280" s="8">
        <f>IF(OR(F280="",G280=""),"ไม่ผ่าน",IF(H280&gt;=90,"ผ่าน","ไม่ผ่าน"))</f>
        <v/>
      </c>
      <c r="L280" s="8">
        <f>IF(K280="ผ่าน",1,0)</f>
        <v/>
      </c>
      <c r="N280" s="7" t="n"/>
    </row>
    <row r="281">
      <c r="F281" s="7" t="n"/>
      <c r="G281" s="7" t="n"/>
      <c r="H281" s="8">
        <f>IF(OR(F281="",G281=""),"",MAX(0,ROUND((G281-F281)*1440,0)))</f>
        <v/>
      </c>
      <c r="I281" s="8">
        <f>IF(F281="","ไม่ครบ","ครบ")</f>
        <v/>
      </c>
      <c r="J281" s="8">
        <f>IF(G281="","ไม่ครบ","ครบ")</f>
        <v/>
      </c>
      <c r="K281" s="8">
        <f>IF(OR(F281="",G281=""),"ไม่ผ่าน",IF(H281&gt;=90,"ผ่าน","ไม่ผ่าน"))</f>
        <v/>
      </c>
      <c r="L281" s="8">
        <f>IF(K281="ผ่าน",1,0)</f>
        <v/>
      </c>
      <c r="N281" s="7" t="n"/>
    </row>
    <row r="282">
      <c r="F282" s="7" t="n"/>
      <c r="G282" s="7" t="n"/>
      <c r="H282" s="8">
        <f>IF(OR(F282="",G282=""),"",MAX(0,ROUND((G282-F282)*1440,0)))</f>
        <v/>
      </c>
      <c r="I282" s="8">
        <f>IF(F282="","ไม่ครบ","ครบ")</f>
        <v/>
      </c>
      <c r="J282" s="8">
        <f>IF(G282="","ไม่ครบ","ครบ")</f>
        <v/>
      </c>
      <c r="K282" s="8">
        <f>IF(OR(F282="",G282=""),"ไม่ผ่าน",IF(H282&gt;=90,"ผ่าน","ไม่ผ่าน"))</f>
        <v/>
      </c>
      <c r="L282" s="8">
        <f>IF(K282="ผ่าน",1,0)</f>
        <v/>
      </c>
      <c r="N282" s="7" t="n"/>
    </row>
    <row r="283">
      <c r="F283" s="7" t="n"/>
      <c r="G283" s="7" t="n"/>
      <c r="H283" s="8">
        <f>IF(OR(F283="",G283=""),"",MAX(0,ROUND((G283-F283)*1440,0)))</f>
        <v/>
      </c>
      <c r="I283" s="8">
        <f>IF(F283="","ไม่ครบ","ครบ")</f>
        <v/>
      </c>
      <c r="J283" s="8">
        <f>IF(G283="","ไม่ครบ","ครบ")</f>
        <v/>
      </c>
      <c r="K283" s="8">
        <f>IF(OR(F283="",G283=""),"ไม่ผ่าน",IF(H283&gt;=90,"ผ่าน","ไม่ผ่าน"))</f>
        <v/>
      </c>
      <c r="L283" s="8">
        <f>IF(K283="ผ่าน",1,0)</f>
        <v/>
      </c>
      <c r="N283" s="7" t="n"/>
    </row>
    <row r="284">
      <c r="F284" s="7" t="n"/>
      <c r="G284" s="7" t="n"/>
      <c r="H284" s="8">
        <f>IF(OR(F284="",G284=""),"",MAX(0,ROUND((G284-F284)*1440,0)))</f>
        <v/>
      </c>
      <c r="I284" s="8">
        <f>IF(F284="","ไม่ครบ","ครบ")</f>
        <v/>
      </c>
      <c r="J284" s="8">
        <f>IF(G284="","ไม่ครบ","ครบ")</f>
        <v/>
      </c>
      <c r="K284" s="8">
        <f>IF(OR(F284="",G284=""),"ไม่ผ่าน",IF(H284&gt;=90,"ผ่าน","ไม่ผ่าน"))</f>
        <v/>
      </c>
      <c r="L284" s="8">
        <f>IF(K284="ผ่าน",1,0)</f>
        <v/>
      </c>
      <c r="N284" s="7" t="n"/>
    </row>
    <row r="285">
      <c r="F285" s="7" t="n"/>
      <c r="G285" s="7" t="n"/>
      <c r="H285" s="8">
        <f>IF(OR(F285="",G285=""),"",MAX(0,ROUND((G285-F285)*1440,0)))</f>
        <v/>
      </c>
      <c r="I285" s="8">
        <f>IF(F285="","ไม่ครบ","ครบ")</f>
        <v/>
      </c>
      <c r="J285" s="8">
        <f>IF(G285="","ไม่ครบ","ครบ")</f>
        <v/>
      </c>
      <c r="K285" s="8">
        <f>IF(OR(F285="",G285=""),"ไม่ผ่าน",IF(H285&gt;=90,"ผ่าน","ไม่ผ่าน"))</f>
        <v/>
      </c>
      <c r="L285" s="8">
        <f>IF(K285="ผ่าน",1,0)</f>
        <v/>
      </c>
      <c r="N285" s="7" t="n"/>
    </row>
    <row r="286">
      <c r="F286" s="7" t="n"/>
      <c r="G286" s="7" t="n"/>
      <c r="H286" s="8">
        <f>IF(OR(F286="",G286=""),"",MAX(0,ROUND((G286-F286)*1440,0)))</f>
        <v/>
      </c>
      <c r="I286" s="8">
        <f>IF(F286="","ไม่ครบ","ครบ")</f>
        <v/>
      </c>
      <c r="J286" s="8">
        <f>IF(G286="","ไม่ครบ","ครบ")</f>
        <v/>
      </c>
      <c r="K286" s="8">
        <f>IF(OR(F286="",G286=""),"ไม่ผ่าน",IF(H286&gt;=90,"ผ่าน","ไม่ผ่าน"))</f>
        <v/>
      </c>
      <c r="L286" s="8">
        <f>IF(K286="ผ่าน",1,0)</f>
        <v/>
      </c>
      <c r="N286" s="7" t="n"/>
    </row>
    <row r="287">
      <c r="F287" s="7" t="n"/>
      <c r="G287" s="7" t="n"/>
      <c r="H287" s="8">
        <f>IF(OR(F287="",G287=""),"",MAX(0,ROUND((G287-F287)*1440,0)))</f>
        <v/>
      </c>
      <c r="I287" s="8">
        <f>IF(F287="","ไม่ครบ","ครบ")</f>
        <v/>
      </c>
      <c r="J287" s="8">
        <f>IF(G287="","ไม่ครบ","ครบ")</f>
        <v/>
      </c>
      <c r="K287" s="8">
        <f>IF(OR(F287="",G287=""),"ไม่ผ่าน",IF(H287&gt;=90,"ผ่าน","ไม่ผ่าน"))</f>
        <v/>
      </c>
      <c r="L287" s="8">
        <f>IF(K287="ผ่าน",1,0)</f>
        <v/>
      </c>
      <c r="N287" s="7" t="n"/>
    </row>
    <row r="288">
      <c r="F288" s="7" t="n"/>
      <c r="G288" s="7" t="n"/>
      <c r="H288" s="8">
        <f>IF(OR(F288="",G288=""),"",MAX(0,ROUND((G288-F288)*1440,0)))</f>
        <v/>
      </c>
      <c r="I288" s="8">
        <f>IF(F288="","ไม่ครบ","ครบ")</f>
        <v/>
      </c>
      <c r="J288" s="8">
        <f>IF(G288="","ไม่ครบ","ครบ")</f>
        <v/>
      </c>
      <c r="K288" s="8">
        <f>IF(OR(F288="",G288=""),"ไม่ผ่าน",IF(H288&gt;=90,"ผ่าน","ไม่ผ่าน"))</f>
        <v/>
      </c>
      <c r="L288" s="8">
        <f>IF(K288="ผ่าน",1,0)</f>
        <v/>
      </c>
      <c r="N288" s="7" t="n"/>
    </row>
    <row r="289">
      <c r="F289" s="7" t="n"/>
      <c r="G289" s="7" t="n"/>
      <c r="H289" s="8">
        <f>IF(OR(F289="",G289=""),"",MAX(0,ROUND((G289-F289)*1440,0)))</f>
        <v/>
      </c>
      <c r="I289" s="8">
        <f>IF(F289="","ไม่ครบ","ครบ")</f>
        <v/>
      </c>
      <c r="J289" s="8">
        <f>IF(G289="","ไม่ครบ","ครบ")</f>
        <v/>
      </c>
      <c r="K289" s="8">
        <f>IF(OR(F289="",G289=""),"ไม่ผ่าน",IF(H289&gt;=90,"ผ่าน","ไม่ผ่าน"))</f>
        <v/>
      </c>
      <c r="L289" s="8">
        <f>IF(K289="ผ่าน",1,0)</f>
        <v/>
      </c>
      <c r="N289" s="7" t="n"/>
    </row>
    <row r="290">
      <c r="F290" s="7" t="n"/>
      <c r="G290" s="7" t="n"/>
      <c r="H290" s="8">
        <f>IF(OR(F290="",G290=""),"",MAX(0,ROUND((G290-F290)*1440,0)))</f>
        <v/>
      </c>
      <c r="I290" s="8">
        <f>IF(F290="","ไม่ครบ","ครบ")</f>
        <v/>
      </c>
      <c r="J290" s="8">
        <f>IF(G290="","ไม่ครบ","ครบ")</f>
        <v/>
      </c>
      <c r="K290" s="8">
        <f>IF(OR(F290="",G290=""),"ไม่ผ่าน",IF(H290&gt;=90,"ผ่าน","ไม่ผ่าน"))</f>
        <v/>
      </c>
      <c r="L290" s="8">
        <f>IF(K290="ผ่าน",1,0)</f>
        <v/>
      </c>
      <c r="N290" s="7" t="n"/>
    </row>
    <row r="291">
      <c r="F291" s="7" t="n"/>
      <c r="G291" s="7" t="n"/>
      <c r="H291" s="8">
        <f>IF(OR(F291="",G291=""),"",MAX(0,ROUND((G291-F291)*1440,0)))</f>
        <v/>
      </c>
      <c r="I291" s="8">
        <f>IF(F291="","ไม่ครบ","ครบ")</f>
        <v/>
      </c>
      <c r="J291" s="8">
        <f>IF(G291="","ไม่ครบ","ครบ")</f>
        <v/>
      </c>
      <c r="K291" s="8">
        <f>IF(OR(F291="",G291=""),"ไม่ผ่าน",IF(H291&gt;=90,"ผ่าน","ไม่ผ่าน"))</f>
        <v/>
      </c>
      <c r="L291" s="8">
        <f>IF(K291="ผ่าน",1,0)</f>
        <v/>
      </c>
      <c r="N291" s="7" t="n"/>
    </row>
    <row r="292">
      <c r="F292" s="7" t="n"/>
      <c r="G292" s="7" t="n"/>
      <c r="H292" s="8">
        <f>IF(OR(F292="",G292=""),"",MAX(0,ROUND((G292-F292)*1440,0)))</f>
        <v/>
      </c>
      <c r="I292" s="8">
        <f>IF(F292="","ไม่ครบ","ครบ")</f>
        <v/>
      </c>
      <c r="J292" s="8">
        <f>IF(G292="","ไม่ครบ","ครบ")</f>
        <v/>
      </c>
      <c r="K292" s="8">
        <f>IF(OR(F292="",G292=""),"ไม่ผ่าน",IF(H292&gt;=90,"ผ่าน","ไม่ผ่าน"))</f>
        <v/>
      </c>
      <c r="L292" s="8">
        <f>IF(K292="ผ่าน",1,0)</f>
        <v/>
      </c>
      <c r="N292" s="7" t="n"/>
    </row>
    <row r="293">
      <c r="F293" s="7" t="n"/>
      <c r="G293" s="7" t="n"/>
      <c r="H293" s="8">
        <f>IF(OR(F293="",G293=""),"",MAX(0,ROUND((G293-F293)*1440,0)))</f>
        <v/>
      </c>
      <c r="I293" s="8">
        <f>IF(F293="","ไม่ครบ","ครบ")</f>
        <v/>
      </c>
      <c r="J293" s="8">
        <f>IF(G293="","ไม่ครบ","ครบ")</f>
        <v/>
      </c>
      <c r="K293" s="8">
        <f>IF(OR(F293="",G293=""),"ไม่ผ่าน",IF(H293&gt;=90,"ผ่าน","ไม่ผ่าน"))</f>
        <v/>
      </c>
      <c r="L293" s="8">
        <f>IF(K293="ผ่าน",1,0)</f>
        <v/>
      </c>
      <c r="N293" s="7" t="n"/>
    </row>
    <row r="294">
      <c r="F294" s="7" t="n"/>
      <c r="G294" s="7" t="n"/>
      <c r="H294" s="8">
        <f>IF(OR(F294="",G294=""),"",MAX(0,ROUND((G294-F294)*1440,0)))</f>
        <v/>
      </c>
      <c r="I294" s="8">
        <f>IF(F294="","ไม่ครบ","ครบ")</f>
        <v/>
      </c>
      <c r="J294" s="8">
        <f>IF(G294="","ไม่ครบ","ครบ")</f>
        <v/>
      </c>
      <c r="K294" s="8">
        <f>IF(OR(F294="",G294=""),"ไม่ผ่าน",IF(H294&gt;=90,"ผ่าน","ไม่ผ่าน"))</f>
        <v/>
      </c>
      <c r="L294" s="8">
        <f>IF(K294="ผ่าน",1,0)</f>
        <v/>
      </c>
      <c r="N294" s="7" t="n"/>
    </row>
    <row r="295">
      <c r="F295" s="7" t="n"/>
      <c r="G295" s="7" t="n"/>
      <c r="H295" s="8">
        <f>IF(OR(F295="",G295=""),"",MAX(0,ROUND((G295-F295)*1440,0)))</f>
        <v/>
      </c>
      <c r="I295" s="8">
        <f>IF(F295="","ไม่ครบ","ครบ")</f>
        <v/>
      </c>
      <c r="J295" s="8">
        <f>IF(G295="","ไม่ครบ","ครบ")</f>
        <v/>
      </c>
      <c r="K295" s="8">
        <f>IF(OR(F295="",G295=""),"ไม่ผ่าน",IF(H295&gt;=90,"ผ่าน","ไม่ผ่าน"))</f>
        <v/>
      </c>
      <c r="L295" s="8">
        <f>IF(K295="ผ่าน",1,0)</f>
        <v/>
      </c>
      <c r="N295" s="7" t="n"/>
    </row>
    <row r="296">
      <c r="F296" s="7" t="n"/>
      <c r="G296" s="7" t="n"/>
      <c r="H296" s="8">
        <f>IF(OR(F296="",G296=""),"",MAX(0,ROUND((G296-F296)*1440,0)))</f>
        <v/>
      </c>
      <c r="I296" s="8">
        <f>IF(F296="","ไม่ครบ","ครบ")</f>
        <v/>
      </c>
      <c r="J296" s="8">
        <f>IF(G296="","ไม่ครบ","ครบ")</f>
        <v/>
      </c>
      <c r="K296" s="8">
        <f>IF(OR(F296="",G296=""),"ไม่ผ่าน",IF(H296&gt;=90,"ผ่าน","ไม่ผ่าน"))</f>
        <v/>
      </c>
      <c r="L296" s="8">
        <f>IF(K296="ผ่าน",1,0)</f>
        <v/>
      </c>
      <c r="N296" s="7" t="n"/>
    </row>
    <row r="297">
      <c r="F297" s="7" t="n"/>
      <c r="G297" s="7" t="n"/>
      <c r="H297" s="8">
        <f>IF(OR(F297="",G297=""),"",MAX(0,ROUND((G297-F297)*1440,0)))</f>
        <v/>
      </c>
      <c r="I297" s="8">
        <f>IF(F297="","ไม่ครบ","ครบ")</f>
        <v/>
      </c>
      <c r="J297" s="8">
        <f>IF(G297="","ไม่ครบ","ครบ")</f>
        <v/>
      </c>
      <c r="K297" s="8">
        <f>IF(OR(F297="",G297=""),"ไม่ผ่าน",IF(H297&gt;=90,"ผ่าน","ไม่ผ่าน"))</f>
        <v/>
      </c>
      <c r="L297" s="8">
        <f>IF(K297="ผ่าน",1,0)</f>
        <v/>
      </c>
      <c r="N297" s="7" t="n"/>
    </row>
    <row r="298">
      <c r="F298" s="7" t="n"/>
      <c r="G298" s="7" t="n"/>
      <c r="H298" s="8">
        <f>IF(OR(F298="",G298=""),"",MAX(0,ROUND((G298-F298)*1440,0)))</f>
        <v/>
      </c>
      <c r="I298" s="8">
        <f>IF(F298="","ไม่ครบ","ครบ")</f>
        <v/>
      </c>
      <c r="J298" s="8">
        <f>IF(G298="","ไม่ครบ","ครบ")</f>
        <v/>
      </c>
      <c r="K298" s="8">
        <f>IF(OR(F298="",G298=""),"ไม่ผ่าน",IF(H298&gt;=90,"ผ่าน","ไม่ผ่าน"))</f>
        <v/>
      </c>
      <c r="L298" s="8">
        <f>IF(K298="ผ่าน",1,0)</f>
        <v/>
      </c>
      <c r="N298" s="7" t="n"/>
    </row>
    <row r="299">
      <c r="F299" s="7" t="n"/>
      <c r="G299" s="7" t="n"/>
      <c r="H299" s="8">
        <f>IF(OR(F299="",G299=""),"",MAX(0,ROUND((G299-F299)*1440,0)))</f>
        <v/>
      </c>
      <c r="I299" s="8">
        <f>IF(F299="","ไม่ครบ","ครบ")</f>
        <v/>
      </c>
      <c r="J299" s="8">
        <f>IF(G299="","ไม่ครบ","ครบ")</f>
        <v/>
      </c>
      <c r="K299" s="8">
        <f>IF(OR(F299="",G299=""),"ไม่ผ่าน",IF(H299&gt;=90,"ผ่าน","ไม่ผ่าน"))</f>
        <v/>
      </c>
      <c r="L299" s="8">
        <f>IF(K299="ผ่าน",1,0)</f>
        <v/>
      </c>
      <c r="N299" s="7" t="n"/>
    </row>
    <row r="300">
      <c r="F300" s="7" t="n"/>
      <c r="G300" s="7" t="n"/>
      <c r="H300" s="8">
        <f>IF(OR(F300="",G300=""),"",MAX(0,ROUND((G300-F300)*1440,0)))</f>
        <v/>
      </c>
      <c r="I300" s="8">
        <f>IF(F300="","ไม่ครบ","ครบ")</f>
        <v/>
      </c>
      <c r="J300" s="8">
        <f>IF(G300="","ไม่ครบ","ครบ")</f>
        <v/>
      </c>
      <c r="K300" s="8">
        <f>IF(OR(F300="",G300=""),"ไม่ผ่าน",IF(H300&gt;=90,"ผ่าน","ไม่ผ่าน"))</f>
        <v/>
      </c>
      <c r="L300" s="8">
        <f>IF(K300="ผ่าน",1,0)</f>
        <v/>
      </c>
      <c r="N300" s="7" t="n"/>
    </row>
    <row r="301">
      <c r="F301" s="7" t="n"/>
      <c r="G301" s="7" t="n"/>
      <c r="H301" s="8">
        <f>IF(OR(F301="",G301=""),"",MAX(0,ROUND((G301-F301)*1440,0)))</f>
        <v/>
      </c>
      <c r="I301" s="8">
        <f>IF(F301="","ไม่ครบ","ครบ")</f>
        <v/>
      </c>
      <c r="J301" s="8">
        <f>IF(G301="","ไม่ครบ","ครบ")</f>
        <v/>
      </c>
      <c r="K301" s="8">
        <f>IF(OR(F301="",G301=""),"ไม่ผ่าน",IF(H301&gt;=90,"ผ่าน","ไม่ผ่าน"))</f>
        <v/>
      </c>
      <c r="L301" s="8">
        <f>IF(K301="ผ่าน",1,0)</f>
        <v/>
      </c>
      <c r="N301" s="7" t="n"/>
    </row>
    <row r="302">
      <c r="F302" s="7" t="n"/>
      <c r="G302" s="7" t="n"/>
      <c r="H302" s="8">
        <f>IF(OR(F302="",G302=""),"",MAX(0,ROUND((G302-F302)*1440,0)))</f>
        <v/>
      </c>
      <c r="I302" s="8">
        <f>IF(F302="","ไม่ครบ","ครบ")</f>
        <v/>
      </c>
      <c r="J302" s="8">
        <f>IF(G302="","ไม่ครบ","ครบ")</f>
        <v/>
      </c>
      <c r="K302" s="8">
        <f>IF(OR(F302="",G302=""),"ไม่ผ่าน",IF(H302&gt;=90,"ผ่าน","ไม่ผ่าน"))</f>
        <v/>
      </c>
      <c r="L302" s="8">
        <f>IF(K302="ผ่าน",1,0)</f>
        <v/>
      </c>
      <c r="N302" s="7" t="n"/>
    </row>
    <row r="303">
      <c r="F303" s="7" t="n"/>
      <c r="G303" s="7" t="n"/>
      <c r="H303" s="8">
        <f>IF(OR(F303="",G303=""),"",MAX(0,ROUND((G303-F303)*1440,0)))</f>
        <v/>
      </c>
      <c r="I303" s="8">
        <f>IF(F303="","ไม่ครบ","ครบ")</f>
        <v/>
      </c>
      <c r="J303" s="8">
        <f>IF(G303="","ไม่ครบ","ครบ")</f>
        <v/>
      </c>
      <c r="K303" s="8">
        <f>IF(OR(F303="",G303=""),"ไม่ผ่าน",IF(H303&gt;=90,"ผ่าน","ไม่ผ่าน"))</f>
        <v/>
      </c>
      <c r="L303" s="8">
        <f>IF(K303="ผ่าน",1,0)</f>
        <v/>
      </c>
      <c r="N303" s="7" t="n"/>
    </row>
    <row r="304">
      <c r="F304" s="7" t="n"/>
      <c r="G304" s="7" t="n"/>
      <c r="H304" s="8">
        <f>IF(OR(F304="",G304=""),"",MAX(0,ROUND((G304-F304)*1440,0)))</f>
        <v/>
      </c>
      <c r="I304" s="8">
        <f>IF(F304="","ไม่ครบ","ครบ")</f>
        <v/>
      </c>
      <c r="J304" s="8">
        <f>IF(G304="","ไม่ครบ","ครบ")</f>
        <v/>
      </c>
      <c r="K304" s="8">
        <f>IF(OR(F304="",G304=""),"ไม่ผ่าน",IF(H304&gt;=90,"ผ่าน","ไม่ผ่าน"))</f>
        <v/>
      </c>
      <c r="L304" s="8">
        <f>IF(K304="ผ่าน",1,0)</f>
        <v/>
      </c>
      <c r="N304" s="7" t="n"/>
    </row>
    <row r="305">
      <c r="F305" s="7" t="n"/>
      <c r="G305" s="7" t="n"/>
      <c r="H305" s="8">
        <f>IF(OR(F305="",G305=""),"",MAX(0,ROUND((G305-F305)*1440,0)))</f>
        <v/>
      </c>
      <c r="I305" s="8">
        <f>IF(F305="","ไม่ครบ","ครบ")</f>
        <v/>
      </c>
      <c r="J305" s="8">
        <f>IF(G305="","ไม่ครบ","ครบ")</f>
        <v/>
      </c>
      <c r="K305" s="8">
        <f>IF(OR(F305="",G305=""),"ไม่ผ่าน",IF(H305&gt;=90,"ผ่าน","ไม่ผ่าน"))</f>
        <v/>
      </c>
      <c r="L305" s="8">
        <f>IF(K305="ผ่าน",1,0)</f>
        <v/>
      </c>
      <c r="N305" s="7" t="n"/>
    </row>
    <row r="306">
      <c r="F306" s="7" t="n"/>
      <c r="G306" s="7" t="n"/>
      <c r="H306" s="8">
        <f>IF(OR(F306="",G306=""),"",MAX(0,ROUND((G306-F306)*1440,0)))</f>
        <v/>
      </c>
      <c r="I306" s="8">
        <f>IF(F306="","ไม่ครบ","ครบ")</f>
        <v/>
      </c>
      <c r="J306" s="8">
        <f>IF(G306="","ไม่ครบ","ครบ")</f>
        <v/>
      </c>
      <c r="K306" s="8">
        <f>IF(OR(F306="",G306=""),"ไม่ผ่าน",IF(H306&gt;=90,"ผ่าน","ไม่ผ่าน"))</f>
        <v/>
      </c>
      <c r="L306" s="8">
        <f>IF(K306="ผ่าน",1,0)</f>
        <v/>
      </c>
      <c r="N306" s="7" t="n"/>
    </row>
    <row r="307">
      <c r="F307" s="7" t="n"/>
      <c r="G307" s="7" t="n"/>
      <c r="H307" s="8">
        <f>IF(OR(F307="",G307=""),"",MAX(0,ROUND((G307-F307)*1440,0)))</f>
        <v/>
      </c>
      <c r="I307" s="8">
        <f>IF(F307="","ไม่ครบ","ครบ")</f>
        <v/>
      </c>
      <c r="J307" s="8">
        <f>IF(G307="","ไม่ครบ","ครบ")</f>
        <v/>
      </c>
      <c r="K307" s="8">
        <f>IF(OR(F307="",G307=""),"ไม่ผ่าน",IF(H307&gt;=90,"ผ่าน","ไม่ผ่าน"))</f>
        <v/>
      </c>
      <c r="L307" s="8">
        <f>IF(K307="ผ่าน",1,0)</f>
        <v/>
      </c>
      <c r="N307" s="7" t="n"/>
    </row>
    <row r="308">
      <c r="F308" s="7" t="n"/>
      <c r="G308" s="7" t="n"/>
      <c r="H308" s="8">
        <f>IF(OR(F308="",G308=""),"",MAX(0,ROUND((G308-F308)*1440,0)))</f>
        <v/>
      </c>
      <c r="I308" s="8">
        <f>IF(F308="","ไม่ครบ","ครบ")</f>
        <v/>
      </c>
      <c r="J308" s="8">
        <f>IF(G308="","ไม่ครบ","ครบ")</f>
        <v/>
      </c>
      <c r="K308" s="8">
        <f>IF(OR(F308="",G308=""),"ไม่ผ่าน",IF(H308&gt;=90,"ผ่าน","ไม่ผ่าน"))</f>
        <v/>
      </c>
      <c r="L308" s="8">
        <f>IF(K308="ผ่าน",1,0)</f>
        <v/>
      </c>
      <c r="N308" s="7" t="n"/>
    </row>
    <row r="309">
      <c r="F309" s="7" t="n"/>
      <c r="G309" s="7" t="n"/>
      <c r="H309" s="8">
        <f>IF(OR(F309="",G309=""),"",MAX(0,ROUND((G309-F309)*1440,0)))</f>
        <v/>
      </c>
      <c r="I309" s="8">
        <f>IF(F309="","ไม่ครบ","ครบ")</f>
        <v/>
      </c>
      <c r="J309" s="8">
        <f>IF(G309="","ไม่ครบ","ครบ")</f>
        <v/>
      </c>
      <c r="K309" s="8">
        <f>IF(OR(F309="",G309=""),"ไม่ผ่าน",IF(H309&gt;=90,"ผ่าน","ไม่ผ่าน"))</f>
        <v/>
      </c>
      <c r="L309" s="8">
        <f>IF(K309="ผ่าน",1,0)</f>
        <v/>
      </c>
      <c r="N309" s="7" t="n"/>
    </row>
    <row r="310">
      <c r="F310" s="7" t="n"/>
      <c r="G310" s="7" t="n"/>
      <c r="H310" s="8">
        <f>IF(OR(F310="",G310=""),"",MAX(0,ROUND((G310-F310)*1440,0)))</f>
        <v/>
      </c>
      <c r="I310" s="8">
        <f>IF(F310="","ไม่ครบ","ครบ")</f>
        <v/>
      </c>
      <c r="J310" s="8">
        <f>IF(G310="","ไม่ครบ","ครบ")</f>
        <v/>
      </c>
      <c r="K310" s="8">
        <f>IF(OR(F310="",G310=""),"ไม่ผ่าน",IF(H310&gt;=90,"ผ่าน","ไม่ผ่าน"))</f>
        <v/>
      </c>
      <c r="L310" s="8">
        <f>IF(K310="ผ่าน",1,0)</f>
        <v/>
      </c>
      <c r="N310" s="7" t="n"/>
    </row>
    <row r="311">
      <c r="F311" s="7" t="n"/>
      <c r="G311" s="7" t="n"/>
      <c r="H311" s="8">
        <f>IF(OR(F311="",G311=""),"",MAX(0,ROUND((G311-F311)*1440,0)))</f>
        <v/>
      </c>
      <c r="I311" s="8">
        <f>IF(F311="","ไม่ครบ","ครบ")</f>
        <v/>
      </c>
      <c r="J311" s="8">
        <f>IF(G311="","ไม่ครบ","ครบ")</f>
        <v/>
      </c>
      <c r="K311" s="8">
        <f>IF(OR(F311="",G311=""),"ไม่ผ่าน",IF(H311&gt;=90,"ผ่าน","ไม่ผ่าน"))</f>
        <v/>
      </c>
      <c r="L311" s="8">
        <f>IF(K311="ผ่าน",1,0)</f>
        <v/>
      </c>
      <c r="N311" s="7" t="n"/>
    </row>
    <row r="312">
      <c r="F312" s="7" t="n"/>
      <c r="G312" s="7" t="n"/>
      <c r="H312" s="8">
        <f>IF(OR(F312="",G312=""),"",MAX(0,ROUND((G312-F312)*1440,0)))</f>
        <v/>
      </c>
      <c r="I312" s="8">
        <f>IF(F312="","ไม่ครบ","ครบ")</f>
        <v/>
      </c>
      <c r="J312" s="8">
        <f>IF(G312="","ไม่ครบ","ครบ")</f>
        <v/>
      </c>
      <c r="K312" s="8">
        <f>IF(OR(F312="",G312=""),"ไม่ผ่าน",IF(H312&gt;=90,"ผ่าน","ไม่ผ่าน"))</f>
        <v/>
      </c>
      <c r="L312" s="8">
        <f>IF(K312="ผ่าน",1,0)</f>
        <v/>
      </c>
      <c r="N312" s="7" t="n"/>
    </row>
    <row r="313">
      <c r="F313" s="7" t="n"/>
      <c r="G313" s="7" t="n"/>
      <c r="H313" s="8">
        <f>IF(OR(F313="",G313=""),"",MAX(0,ROUND((G313-F313)*1440,0)))</f>
        <v/>
      </c>
      <c r="I313" s="8">
        <f>IF(F313="","ไม่ครบ","ครบ")</f>
        <v/>
      </c>
      <c r="J313" s="8">
        <f>IF(G313="","ไม่ครบ","ครบ")</f>
        <v/>
      </c>
      <c r="K313" s="8">
        <f>IF(OR(F313="",G313=""),"ไม่ผ่าน",IF(H313&gt;=90,"ผ่าน","ไม่ผ่าน"))</f>
        <v/>
      </c>
      <c r="L313" s="8">
        <f>IF(K313="ผ่าน",1,0)</f>
        <v/>
      </c>
      <c r="N313" s="7" t="n"/>
    </row>
    <row r="314">
      <c r="F314" s="7" t="n"/>
      <c r="G314" s="7" t="n"/>
      <c r="H314" s="8">
        <f>IF(OR(F314="",G314=""),"",MAX(0,ROUND((G314-F314)*1440,0)))</f>
        <v/>
      </c>
      <c r="I314" s="8">
        <f>IF(F314="","ไม่ครบ","ครบ")</f>
        <v/>
      </c>
      <c r="J314" s="8">
        <f>IF(G314="","ไม่ครบ","ครบ")</f>
        <v/>
      </c>
      <c r="K314" s="8">
        <f>IF(OR(F314="",G314=""),"ไม่ผ่าน",IF(H314&gt;=90,"ผ่าน","ไม่ผ่าน"))</f>
        <v/>
      </c>
      <c r="L314" s="8">
        <f>IF(K314="ผ่าน",1,0)</f>
        <v/>
      </c>
      <c r="N314" s="7" t="n"/>
    </row>
    <row r="315">
      <c r="F315" s="7" t="n"/>
      <c r="G315" s="7" t="n"/>
      <c r="H315" s="8">
        <f>IF(OR(F315="",G315=""),"",MAX(0,ROUND((G315-F315)*1440,0)))</f>
        <v/>
      </c>
      <c r="I315" s="8">
        <f>IF(F315="","ไม่ครบ","ครบ")</f>
        <v/>
      </c>
      <c r="J315" s="8">
        <f>IF(G315="","ไม่ครบ","ครบ")</f>
        <v/>
      </c>
      <c r="K315" s="8">
        <f>IF(OR(F315="",G315=""),"ไม่ผ่าน",IF(H315&gt;=90,"ผ่าน","ไม่ผ่าน"))</f>
        <v/>
      </c>
      <c r="L315" s="8">
        <f>IF(K315="ผ่าน",1,0)</f>
        <v/>
      </c>
      <c r="N315" s="7" t="n"/>
    </row>
    <row r="316">
      <c r="F316" s="7" t="n"/>
      <c r="G316" s="7" t="n"/>
      <c r="H316" s="8">
        <f>IF(OR(F316="",G316=""),"",MAX(0,ROUND((G316-F316)*1440,0)))</f>
        <v/>
      </c>
      <c r="I316" s="8">
        <f>IF(F316="","ไม่ครบ","ครบ")</f>
        <v/>
      </c>
      <c r="J316" s="8">
        <f>IF(G316="","ไม่ครบ","ครบ")</f>
        <v/>
      </c>
      <c r="K316" s="8">
        <f>IF(OR(F316="",G316=""),"ไม่ผ่าน",IF(H316&gt;=90,"ผ่าน","ไม่ผ่าน"))</f>
        <v/>
      </c>
      <c r="L316" s="8">
        <f>IF(K316="ผ่าน",1,0)</f>
        <v/>
      </c>
      <c r="N316" s="7" t="n"/>
    </row>
    <row r="317">
      <c r="F317" s="7" t="n"/>
      <c r="G317" s="7" t="n"/>
      <c r="H317" s="8">
        <f>IF(OR(F317="",G317=""),"",MAX(0,ROUND((G317-F317)*1440,0)))</f>
        <v/>
      </c>
      <c r="I317" s="8">
        <f>IF(F317="","ไม่ครบ","ครบ")</f>
        <v/>
      </c>
      <c r="J317" s="8">
        <f>IF(G317="","ไม่ครบ","ครบ")</f>
        <v/>
      </c>
      <c r="K317" s="8">
        <f>IF(OR(F317="",G317=""),"ไม่ผ่าน",IF(H317&gt;=90,"ผ่าน","ไม่ผ่าน"))</f>
        <v/>
      </c>
      <c r="L317" s="8">
        <f>IF(K317="ผ่าน",1,0)</f>
        <v/>
      </c>
      <c r="N317" s="7" t="n"/>
    </row>
    <row r="318">
      <c r="F318" s="7" t="n"/>
      <c r="G318" s="7" t="n"/>
      <c r="H318" s="8">
        <f>IF(OR(F318="",G318=""),"",MAX(0,ROUND((G318-F318)*1440,0)))</f>
        <v/>
      </c>
      <c r="I318" s="8">
        <f>IF(F318="","ไม่ครบ","ครบ")</f>
        <v/>
      </c>
      <c r="J318" s="8">
        <f>IF(G318="","ไม่ครบ","ครบ")</f>
        <v/>
      </c>
      <c r="K318" s="8">
        <f>IF(OR(F318="",G318=""),"ไม่ผ่าน",IF(H318&gt;=90,"ผ่าน","ไม่ผ่าน"))</f>
        <v/>
      </c>
      <c r="L318" s="8">
        <f>IF(K318="ผ่าน",1,0)</f>
        <v/>
      </c>
      <c r="N318" s="7" t="n"/>
    </row>
    <row r="319">
      <c r="F319" s="7" t="n"/>
      <c r="G319" s="7" t="n"/>
      <c r="H319" s="8">
        <f>IF(OR(F319="",G319=""),"",MAX(0,ROUND((G319-F319)*1440,0)))</f>
        <v/>
      </c>
      <c r="I319" s="8">
        <f>IF(F319="","ไม่ครบ","ครบ")</f>
        <v/>
      </c>
      <c r="J319" s="8">
        <f>IF(G319="","ไม่ครบ","ครบ")</f>
        <v/>
      </c>
      <c r="K319" s="8">
        <f>IF(OR(F319="",G319=""),"ไม่ผ่าน",IF(H319&gt;=90,"ผ่าน","ไม่ผ่าน"))</f>
        <v/>
      </c>
      <c r="L319" s="8">
        <f>IF(K319="ผ่าน",1,0)</f>
        <v/>
      </c>
      <c r="N319" s="7" t="n"/>
    </row>
    <row r="320">
      <c r="F320" s="7" t="n"/>
      <c r="G320" s="7" t="n"/>
      <c r="H320" s="8">
        <f>IF(OR(F320="",G320=""),"",MAX(0,ROUND((G320-F320)*1440,0)))</f>
        <v/>
      </c>
      <c r="I320" s="8">
        <f>IF(F320="","ไม่ครบ","ครบ")</f>
        <v/>
      </c>
      <c r="J320" s="8">
        <f>IF(G320="","ไม่ครบ","ครบ")</f>
        <v/>
      </c>
      <c r="K320" s="8">
        <f>IF(OR(F320="",G320=""),"ไม่ผ่าน",IF(H320&gt;=90,"ผ่าน","ไม่ผ่าน"))</f>
        <v/>
      </c>
      <c r="L320" s="8">
        <f>IF(K320="ผ่าน",1,0)</f>
        <v/>
      </c>
      <c r="N320" s="7" t="n"/>
    </row>
    <row r="321">
      <c r="F321" s="7" t="n"/>
      <c r="G321" s="7" t="n"/>
      <c r="H321" s="8">
        <f>IF(OR(F321="",G321=""),"",MAX(0,ROUND((G321-F321)*1440,0)))</f>
        <v/>
      </c>
      <c r="I321" s="8">
        <f>IF(F321="","ไม่ครบ","ครบ")</f>
        <v/>
      </c>
      <c r="J321" s="8">
        <f>IF(G321="","ไม่ครบ","ครบ")</f>
        <v/>
      </c>
      <c r="K321" s="8">
        <f>IF(OR(F321="",G321=""),"ไม่ผ่าน",IF(H321&gt;=90,"ผ่าน","ไม่ผ่าน"))</f>
        <v/>
      </c>
      <c r="L321" s="8">
        <f>IF(K321="ผ่าน",1,0)</f>
        <v/>
      </c>
      <c r="N321" s="7" t="n"/>
    </row>
    <row r="322">
      <c r="F322" s="7" t="n"/>
      <c r="G322" s="7" t="n"/>
      <c r="H322" s="8">
        <f>IF(OR(F322="",G322=""),"",MAX(0,ROUND((G322-F322)*1440,0)))</f>
        <v/>
      </c>
      <c r="I322" s="8">
        <f>IF(F322="","ไม่ครบ","ครบ")</f>
        <v/>
      </c>
      <c r="J322" s="8">
        <f>IF(G322="","ไม่ครบ","ครบ")</f>
        <v/>
      </c>
      <c r="K322" s="8">
        <f>IF(OR(F322="",G322=""),"ไม่ผ่าน",IF(H322&gt;=90,"ผ่าน","ไม่ผ่าน"))</f>
        <v/>
      </c>
      <c r="L322" s="8">
        <f>IF(K322="ผ่าน",1,0)</f>
        <v/>
      </c>
      <c r="N322" s="7" t="n"/>
    </row>
    <row r="323">
      <c r="F323" s="7" t="n"/>
      <c r="G323" s="7" t="n"/>
      <c r="H323" s="8">
        <f>IF(OR(F323="",G323=""),"",MAX(0,ROUND((G323-F323)*1440,0)))</f>
        <v/>
      </c>
      <c r="I323" s="8">
        <f>IF(F323="","ไม่ครบ","ครบ")</f>
        <v/>
      </c>
      <c r="J323" s="8">
        <f>IF(G323="","ไม่ครบ","ครบ")</f>
        <v/>
      </c>
      <c r="K323" s="8">
        <f>IF(OR(F323="",G323=""),"ไม่ผ่าน",IF(H323&gt;=90,"ผ่าน","ไม่ผ่าน"))</f>
        <v/>
      </c>
      <c r="L323" s="8">
        <f>IF(K323="ผ่าน",1,0)</f>
        <v/>
      </c>
      <c r="N323" s="7" t="n"/>
    </row>
    <row r="324">
      <c r="F324" s="7" t="n"/>
      <c r="G324" s="7" t="n"/>
      <c r="H324" s="8">
        <f>IF(OR(F324="",G324=""),"",MAX(0,ROUND((G324-F324)*1440,0)))</f>
        <v/>
      </c>
      <c r="I324" s="8">
        <f>IF(F324="","ไม่ครบ","ครบ")</f>
        <v/>
      </c>
      <c r="J324" s="8">
        <f>IF(G324="","ไม่ครบ","ครบ")</f>
        <v/>
      </c>
      <c r="K324" s="8">
        <f>IF(OR(F324="",G324=""),"ไม่ผ่าน",IF(H324&gt;=90,"ผ่าน","ไม่ผ่าน"))</f>
        <v/>
      </c>
      <c r="L324" s="8">
        <f>IF(K324="ผ่าน",1,0)</f>
        <v/>
      </c>
      <c r="N324" s="7" t="n"/>
    </row>
    <row r="325">
      <c r="F325" s="7" t="n"/>
      <c r="G325" s="7" t="n"/>
      <c r="H325" s="8">
        <f>IF(OR(F325="",G325=""),"",MAX(0,ROUND((G325-F325)*1440,0)))</f>
        <v/>
      </c>
      <c r="I325" s="8">
        <f>IF(F325="","ไม่ครบ","ครบ")</f>
        <v/>
      </c>
      <c r="J325" s="8">
        <f>IF(G325="","ไม่ครบ","ครบ")</f>
        <v/>
      </c>
      <c r="K325" s="8">
        <f>IF(OR(F325="",G325=""),"ไม่ผ่าน",IF(H325&gt;=90,"ผ่าน","ไม่ผ่าน"))</f>
        <v/>
      </c>
      <c r="L325" s="8">
        <f>IF(K325="ผ่าน",1,0)</f>
        <v/>
      </c>
      <c r="N325" s="7" t="n"/>
    </row>
    <row r="326">
      <c r="F326" s="7" t="n"/>
      <c r="G326" s="7" t="n"/>
      <c r="H326" s="8">
        <f>IF(OR(F326="",G326=""),"",MAX(0,ROUND((G326-F326)*1440,0)))</f>
        <v/>
      </c>
      <c r="I326" s="8">
        <f>IF(F326="","ไม่ครบ","ครบ")</f>
        <v/>
      </c>
      <c r="J326" s="8">
        <f>IF(G326="","ไม่ครบ","ครบ")</f>
        <v/>
      </c>
      <c r="K326" s="8">
        <f>IF(OR(F326="",G326=""),"ไม่ผ่าน",IF(H326&gt;=90,"ผ่าน","ไม่ผ่าน"))</f>
        <v/>
      </c>
      <c r="L326" s="8">
        <f>IF(K326="ผ่าน",1,0)</f>
        <v/>
      </c>
      <c r="N326" s="7" t="n"/>
    </row>
    <row r="327">
      <c r="F327" s="7" t="n"/>
      <c r="G327" s="7" t="n"/>
      <c r="H327" s="8">
        <f>IF(OR(F327="",G327=""),"",MAX(0,ROUND((G327-F327)*1440,0)))</f>
        <v/>
      </c>
      <c r="I327" s="8">
        <f>IF(F327="","ไม่ครบ","ครบ")</f>
        <v/>
      </c>
      <c r="J327" s="8">
        <f>IF(G327="","ไม่ครบ","ครบ")</f>
        <v/>
      </c>
      <c r="K327" s="8">
        <f>IF(OR(F327="",G327=""),"ไม่ผ่าน",IF(H327&gt;=90,"ผ่าน","ไม่ผ่าน"))</f>
        <v/>
      </c>
      <c r="L327" s="8">
        <f>IF(K327="ผ่าน",1,0)</f>
        <v/>
      </c>
      <c r="N327" s="7" t="n"/>
    </row>
    <row r="328">
      <c r="F328" s="7" t="n"/>
      <c r="G328" s="7" t="n"/>
      <c r="H328" s="8">
        <f>IF(OR(F328="",G328=""),"",MAX(0,ROUND((G328-F328)*1440,0)))</f>
        <v/>
      </c>
      <c r="I328" s="8">
        <f>IF(F328="","ไม่ครบ","ครบ")</f>
        <v/>
      </c>
      <c r="J328" s="8">
        <f>IF(G328="","ไม่ครบ","ครบ")</f>
        <v/>
      </c>
      <c r="K328" s="8">
        <f>IF(OR(F328="",G328=""),"ไม่ผ่าน",IF(H328&gt;=90,"ผ่าน","ไม่ผ่าน"))</f>
        <v/>
      </c>
      <c r="L328" s="8">
        <f>IF(K328="ผ่าน",1,0)</f>
        <v/>
      </c>
      <c r="N328" s="7" t="n"/>
    </row>
    <row r="329">
      <c r="F329" s="7" t="n"/>
      <c r="G329" s="7" t="n"/>
      <c r="H329" s="8">
        <f>IF(OR(F329="",G329=""),"",MAX(0,ROUND((G329-F329)*1440,0)))</f>
        <v/>
      </c>
      <c r="I329" s="8">
        <f>IF(F329="","ไม่ครบ","ครบ")</f>
        <v/>
      </c>
      <c r="J329" s="8">
        <f>IF(G329="","ไม่ครบ","ครบ")</f>
        <v/>
      </c>
      <c r="K329" s="8">
        <f>IF(OR(F329="",G329=""),"ไม่ผ่าน",IF(H329&gt;=90,"ผ่าน","ไม่ผ่าน"))</f>
        <v/>
      </c>
      <c r="L329" s="8">
        <f>IF(K329="ผ่าน",1,0)</f>
        <v/>
      </c>
      <c r="N329" s="7" t="n"/>
    </row>
    <row r="330">
      <c r="F330" s="7" t="n"/>
      <c r="G330" s="7" t="n"/>
      <c r="H330" s="8">
        <f>IF(OR(F330="",G330=""),"",MAX(0,ROUND((G330-F330)*1440,0)))</f>
        <v/>
      </c>
      <c r="I330" s="8">
        <f>IF(F330="","ไม่ครบ","ครบ")</f>
        <v/>
      </c>
      <c r="J330" s="8">
        <f>IF(G330="","ไม่ครบ","ครบ")</f>
        <v/>
      </c>
      <c r="K330" s="8">
        <f>IF(OR(F330="",G330=""),"ไม่ผ่าน",IF(H330&gt;=90,"ผ่าน","ไม่ผ่าน"))</f>
        <v/>
      </c>
      <c r="L330" s="8">
        <f>IF(K330="ผ่าน",1,0)</f>
        <v/>
      </c>
      <c r="N330" s="7" t="n"/>
    </row>
    <row r="331">
      <c r="F331" s="7" t="n"/>
      <c r="G331" s="7" t="n"/>
      <c r="H331" s="8">
        <f>IF(OR(F331="",G331=""),"",MAX(0,ROUND((G331-F331)*1440,0)))</f>
        <v/>
      </c>
      <c r="I331" s="8">
        <f>IF(F331="","ไม่ครบ","ครบ")</f>
        <v/>
      </c>
      <c r="J331" s="8">
        <f>IF(G331="","ไม่ครบ","ครบ")</f>
        <v/>
      </c>
      <c r="K331" s="8">
        <f>IF(OR(F331="",G331=""),"ไม่ผ่าน",IF(H331&gt;=90,"ผ่าน","ไม่ผ่าน"))</f>
        <v/>
      </c>
      <c r="L331" s="8">
        <f>IF(K331="ผ่าน",1,0)</f>
        <v/>
      </c>
      <c r="N331" s="7" t="n"/>
    </row>
    <row r="332">
      <c r="F332" s="7" t="n"/>
      <c r="G332" s="7" t="n"/>
      <c r="H332" s="8">
        <f>IF(OR(F332="",G332=""),"",MAX(0,ROUND((G332-F332)*1440,0)))</f>
        <v/>
      </c>
      <c r="I332" s="8">
        <f>IF(F332="","ไม่ครบ","ครบ")</f>
        <v/>
      </c>
      <c r="J332" s="8">
        <f>IF(G332="","ไม่ครบ","ครบ")</f>
        <v/>
      </c>
      <c r="K332" s="8">
        <f>IF(OR(F332="",G332=""),"ไม่ผ่าน",IF(H332&gt;=90,"ผ่าน","ไม่ผ่าน"))</f>
        <v/>
      </c>
      <c r="L332" s="8">
        <f>IF(K332="ผ่าน",1,0)</f>
        <v/>
      </c>
      <c r="N332" s="7" t="n"/>
    </row>
    <row r="333">
      <c r="F333" s="7" t="n"/>
      <c r="G333" s="7" t="n"/>
      <c r="H333" s="8">
        <f>IF(OR(F333="",G333=""),"",MAX(0,ROUND((G333-F333)*1440,0)))</f>
        <v/>
      </c>
      <c r="I333" s="8">
        <f>IF(F333="","ไม่ครบ","ครบ")</f>
        <v/>
      </c>
      <c r="J333" s="8">
        <f>IF(G333="","ไม่ครบ","ครบ")</f>
        <v/>
      </c>
      <c r="K333" s="8">
        <f>IF(OR(F333="",G333=""),"ไม่ผ่าน",IF(H333&gt;=90,"ผ่าน","ไม่ผ่าน"))</f>
        <v/>
      </c>
      <c r="L333" s="8">
        <f>IF(K333="ผ่าน",1,0)</f>
        <v/>
      </c>
      <c r="N333" s="7" t="n"/>
    </row>
    <row r="334">
      <c r="F334" s="7" t="n"/>
      <c r="G334" s="7" t="n"/>
      <c r="H334" s="8">
        <f>IF(OR(F334="",G334=""),"",MAX(0,ROUND((G334-F334)*1440,0)))</f>
        <v/>
      </c>
      <c r="I334" s="8">
        <f>IF(F334="","ไม่ครบ","ครบ")</f>
        <v/>
      </c>
      <c r="J334" s="8">
        <f>IF(G334="","ไม่ครบ","ครบ")</f>
        <v/>
      </c>
      <c r="K334" s="8">
        <f>IF(OR(F334="",G334=""),"ไม่ผ่าน",IF(H334&gt;=90,"ผ่าน","ไม่ผ่าน"))</f>
        <v/>
      </c>
      <c r="L334" s="8">
        <f>IF(K334="ผ่าน",1,0)</f>
        <v/>
      </c>
      <c r="N334" s="7" t="n"/>
    </row>
    <row r="335">
      <c r="F335" s="7" t="n"/>
      <c r="G335" s="7" t="n"/>
      <c r="H335" s="8">
        <f>IF(OR(F335="",G335=""),"",MAX(0,ROUND((G335-F335)*1440,0)))</f>
        <v/>
      </c>
      <c r="I335" s="8">
        <f>IF(F335="","ไม่ครบ","ครบ")</f>
        <v/>
      </c>
      <c r="J335" s="8">
        <f>IF(G335="","ไม่ครบ","ครบ")</f>
        <v/>
      </c>
      <c r="K335" s="8">
        <f>IF(OR(F335="",G335=""),"ไม่ผ่าน",IF(H335&gt;=90,"ผ่าน","ไม่ผ่าน"))</f>
        <v/>
      </c>
      <c r="L335" s="8">
        <f>IF(K335="ผ่าน",1,0)</f>
        <v/>
      </c>
      <c r="N335" s="7" t="n"/>
    </row>
    <row r="336">
      <c r="F336" s="7" t="n"/>
      <c r="G336" s="7" t="n"/>
      <c r="H336" s="8">
        <f>IF(OR(F336="",G336=""),"",MAX(0,ROUND((G336-F336)*1440,0)))</f>
        <v/>
      </c>
      <c r="I336" s="8">
        <f>IF(F336="","ไม่ครบ","ครบ")</f>
        <v/>
      </c>
      <c r="J336" s="8">
        <f>IF(G336="","ไม่ครบ","ครบ")</f>
        <v/>
      </c>
      <c r="K336" s="8">
        <f>IF(OR(F336="",G336=""),"ไม่ผ่าน",IF(H336&gt;=90,"ผ่าน","ไม่ผ่าน"))</f>
        <v/>
      </c>
      <c r="L336" s="8">
        <f>IF(K336="ผ่าน",1,0)</f>
        <v/>
      </c>
      <c r="N336" s="7" t="n"/>
    </row>
    <row r="337">
      <c r="F337" s="7" t="n"/>
      <c r="G337" s="7" t="n"/>
      <c r="H337" s="8">
        <f>IF(OR(F337="",G337=""),"",MAX(0,ROUND((G337-F337)*1440,0)))</f>
        <v/>
      </c>
      <c r="I337" s="8">
        <f>IF(F337="","ไม่ครบ","ครบ")</f>
        <v/>
      </c>
      <c r="J337" s="8">
        <f>IF(G337="","ไม่ครบ","ครบ")</f>
        <v/>
      </c>
      <c r="K337" s="8">
        <f>IF(OR(F337="",G337=""),"ไม่ผ่าน",IF(H337&gt;=90,"ผ่าน","ไม่ผ่าน"))</f>
        <v/>
      </c>
      <c r="L337" s="8">
        <f>IF(K337="ผ่าน",1,0)</f>
        <v/>
      </c>
      <c r="N337" s="7" t="n"/>
    </row>
    <row r="338">
      <c r="F338" s="7" t="n"/>
      <c r="G338" s="7" t="n"/>
      <c r="H338" s="8">
        <f>IF(OR(F338="",G338=""),"",MAX(0,ROUND((G338-F338)*1440,0)))</f>
        <v/>
      </c>
      <c r="I338" s="8">
        <f>IF(F338="","ไม่ครบ","ครบ")</f>
        <v/>
      </c>
      <c r="J338" s="8">
        <f>IF(G338="","ไม่ครบ","ครบ")</f>
        <v/>
      </c>
      <c r="K338" s="8">
        <f>IF(OR(F338="",G338=""),"ไม่ผ่าน",IF(H338&gt;=90,"ผ่าน","ไม่ผ่าน"))</f>
        <v/>
      </c>
      <c r="L338" s="8">
        <f>IF(K338="ผ่าน",1,0)</f>
        <v/>
      </c>
      <c r="N338" s="7" t="n"/>
    </row>
    <row r="339">
      <c r="F339" s="7" t="n"/>
      <c r="G339" s="7" t="n"/>
      <c r="H339" s="8">
        <f>IF(OR(F339="",G339=""),"",MAX(0,ROUND((G339-F339)*1440,0)))</f>
        <v/>
      </c>
      <c r="I339" s="8">
        <f>IF(F339="","ไม่ครบ","ครบ")</f>
        <v/>
      </c>
      <c r="J339" s="8">
        <f>IF(G339="","ไม่ครบ","ครบ")</f>
        <v/>
      </c>
      <c r="K339" s="8">
        <f>IF(OR(F339="",G339=""),"ไม่ผ่าน",IF(H339&gt;=90,"ผ่าน","ไม่ผ่าน"))</f>
        <v/>
      </c>
      <c r="L339" s="8">
        <f>IF(K339="ผ่าน",1,0)</f>
        <v/>
      </c>
      <c r="N339" s="7" t="n"/>
    </row>
    <row r="340">
      <c r="F340" s="7" t="n"/>
      <c r="G340" s="7" t="n"/>
      <c r="H340" s="8">
        <f>IF(OR(F340="",G340=""),"",MAX(0,ROUND((G340-F340)*1440,0)))</f>
        <v/>
      </c>
      <c r="I340" s="8">
        <f>IF(F340="","ไม่ครบ","ครบ")</f>
        <v/>
      </c>
      <c r="J340" s="8">
        <f>IF(G340="","ไม่ครบ","ครบ")</f>
        <v/>
      </c>
      <c r="K340" s="8">
        <f>IF(OR(F340="",G340=""),"ไม่ผ่าน",IF(H340&gt;=90,"ผ่าน","ไม่ผ่าน"))</f>
        <v/>
      </c>
      <c r="L340" s="8">
        <f>IF(K340="ผ่าน",1,0)</f>
        <v/>
      </c>
      <c r="N340" s="7" t="n"/>
    </row>
    <row r="341">
      <c r="F341" s="7" t="n"/>
      <c r="G341" s="7" t="n"/>
      <c r="H341" s="8">
        <f>IF(OR(F341="",G341=""),"",MAX(0,ROUND((G341-F341)*1440,0)))</f>
        <v/>
      </c>
      <c r="I341" s="8">
        <f>IF(F341="","ไม่ครบ","ครบ")</f>
        <v/>
      </c>
      <c r="J341" s="8">
        <f>IF(G341="","ไม่ครบ","ครบ")</f>
        <v/>
      </c>
      <c r="K341" s="8">
        <f>IF(OR(F341="",G341=""),"ไม่ผ่าน",IF(H341&gt;=90,"ผ่าน","ไม่ผ่าน"))</f>
        <v/>
      </c>
      <c r="L341" s="8">
        <f>IF(K341="ผ่าน",1,0)</f>
        <v/>
      </c>
      <c r="N341" s="7" t="n"/>
    </row>
    <row r="342">
      <c r="F342" s="7" t="n"/>
      <c r="G342" s="7" t="n"/>
      <c r="H342" s="8">
        <f>IF(OR(F342="",G342=""),"",MAX(0,ROUND((G342-F342)*1440,0)))</f>
        <v/>
      </c>
      <c r="I342" s="8">
        <f>IF(F342="","ไม่ครบ","ครบ")</f>
        <v/>
      </c>
      <c r="J342" s="8">
        <f>IF(G342="","ไม่ครบ","ครบ")</f>
        <v/>
      </c>
      <c r="K342" s="8">
        <f>IF(OR(F342="",G342=""),"ไม่ผ่าน",IF(H342&gt;=90,"ผ่าน","ไม่ผ่าน"))</f>
        <v/>
      </c>
      <c r="L342" s="8">
        <f>IF(K342="ผ่าน",1,0)</f>
        <v/>
      </c>
      <c r="N342" s="7" t="n"/>
    </row>
    <row r="343">
      <c r="F343" s="7" t="n"/>
      <c r="G343" s="7" t="n"/>
      <c r="H343" s="8">
        <f>IF(OR(F343="",G343=""),"",MAX(0,ROUND((G343-F343)*1440,0)))</f>
        <v/>
      </c>
      <c r="I343" s="8">
        <f>IF(F343="","ไม่ครบ","ครบ")</f>
        <v/>
      </c>
      <c r="J343" s="8">
        <f>IF(G343="","ไม่ครบ","ครบ")</f>
        <v/>
      </c>
      <c r="K343" s="8">
        <f>IF(OR(F343="",G343=""),"ไม่ผ่าน",IF(H343&gt;=90,"ผ่าน","ไม่ผ่าน"))</f>
        <v/>
      </c>
      <c r="L343" s="8">
        <f>IF(K343="ผ่าน",1,0)</f>
        <v/>
      </c>
      <c r="N343" s="7" t="n"/>
    </row>
    <row r="344">
      <c r="F344" s="7" t="n"/>
      <c r="G344" s="7" t="n"/>
      <c r="H344" s="8">
        <f>IF(OR(F344="",G344=""),"",MAX(0,ROUND((G344-F344)*1440,0)))</f>
        <v/>
      </c>
      <c r="I344" s="8">
        <f>IF(F344="","ไม่ครบ","ครบ")</f>
        <v/>
      </c>
      <c r="J344" s="8">
        <f>IF(G344="","ไม่ครบ","ครบ")</f>
        <v/>
      </c>
      <c r="K344" s="8">
        <f>IF(OR(F344="",G344=""),"ไม่ผ่าน",IF(H344&gt;=90,"ผ่าน","ไม่ผ่าน"))</f>
        <v/>
      </c>
      <c r="L344" s="8">
        <f>IF(K344="ผ่าน",1,0)</f>
        <v/>
      </c>
      <c r="N344" s="7" t="n"/>
    </row>
    <row r="345">
      <c r="F345" s="7" t="n"/>
      <c r="G345" s="7" t="n"/>
      <c r="H345" s="8">
        <f>IF(OR(F345="",G345=""),"",MAX(0,ROUND((G345-F345)*1440,0)))</f>
        <v/>
      </c>
      <c r="I345" s="8">
        <f>IF(F345="","ไม่ครบ","ครบ")</f>
        <v/>
      </c>
      <c r="J345" s="8">
        <f>IF(G345="","ไม่ครบ","ครบ")</f>
        <v/>
      </c>
      <c r="K345" s="8">
        <f>IF(OR(F345="",G345=""),"ไม่ผ่าน",IF(H345&gt;=90,"ผ่าน","ไม่ผ่าน"))</f>
        <v/>
      </c>
      <c r="L345" s="8">
        <f>IF(K345="ผ่าน",1,0)</f>
        <v/>
      </c>
      <c r="N345" s="7" t="n"/>
    </row>
    <row r="346">
      <c r="F346" s="7" t="n"/>
      <c r="G346" s="7" t="n"/>
      <c r="H346" s="8">
        <f>IF(OR(F346="",G346=""),"",MAX(0,ROUND((G346-F346)*1440,0)))</f>
        <v/>
      </c>
      <c r="I346" s="8">
        <f>IF(F346="","ไม่ครบ","ครบ")</f>
        <v/>
      </c>
      <c r="J346" s="8">
        <f>IF(G346="","ไม่ครบ","ครบ")</f>
        <v/>
      </c>
      <c r="K346" s="8">
        <f>IF(OR(F346="",G346=""),"ไม่ผ่าน",IF(H346&gt;=90,"ผ่าน","ไม่ผ่าน"))</f>
        <v/>
      </c>
      <c r="L346" s="8">
        <f>IF(K346="ผ่าน",1,0)</f>
        <v/>
      </c>
      <c r="N346" s="7" t="n"/>
    </row>
    <row r="347">
      <c r="F347" s="7" t="n"/>
      <c r="G347" s="7" t="n"/>
      <c r="H347" s="8">
        <f>IF(OR(F347="",G347=""),"",MAX(0,ROUND((G347-F347)*1440,0)))</f>
        <v/>
      </c>
      <c r="I347" s="8">
        <f>IF(F347="","ไม่ครบ","ครบ")</f>
        <v/>
      </c>
      <c r="J347" s="8">
        <f>IF(G347="","ไม่ครบ","ครบ")</f>
        <v/>
      </c>
      <c r="K347" s="8">
        <f>IF(OR(F347="",G347=""),"ไม่ผ่าน",IF(H347&gt;=90,"ผ่าน","ไม่ผ่าน"))</f>
        <v/>
      </c>
      <c r="L347" s="8">
        <f>IF(K347="ผ่าน",1,0)</f>
        <v/>
      </c>
      <c r="N347" s="7" t="n"/>
    </row>
    <row r="348">
      <c r="F348" s="7" t="n"/>
      <c r="G348" s="7" t="n"/>
      <c r="H348" s="8">
        <f>IF(OR(F348="",G348=""),"",MAX(0,ROUND((G348-F348)*1440,0)))</f>
        <v/>
      </c>
      <c r="I348" s="8">
        <f>IF(F348="","ไม่ครบ","ครบ")</f>
        <v/>
      </c>
      <c r="J348" s="8">
        <f>IF(G348="","ไม่ครบ","ครบ")</f>
        <v/>
      </c>
      <c r="K348" s="8">
        <f>IF(OR(F348="",G348=""),"ไม่ผ่าน",IF(H348&gt;=90,"ผ่าน","ไม่ผ่าน"))</f>
        <v/>
      </c>
      <c r="L348" s="8">
        <f>IF(K348="ผ่าน",1,0)</f>
        <v/>
      </c>
      <c r="N348" s="7" t="n"/>
    </row>
    <row r="349">
      <c r="F349" s="7" t="n"/>
      <c r="G349" s="7" t="n"/>
      <c r="H349" s="8">
        <f>IF(OR(F349="",G349=""),"",MAX(0,ROUND((G349-F349)*1440,0)))</f>
        <v/>
      </c>
      <c r="I349" s="8">
        <f>IF(F349="","ไม่ครบ","ครบ")</f>
        <v/>
      </c>
      <c r="J349" s="8">
        <f>IF(G349="","ไม่ครบ","ครบ")</f>
        <v/>
      </c>
      <c r="K349" s="8">
        <f>IF(OR(F349="",G349=""),"ไม่ผ่าน",IF(H349&gt;=90,"ผ่าน","ไม่ผ่าน"))</f>
        <v/>
      </c>
      <c r="L349" s="8">
        <f>IF(K349="ผ่าน",1,0)</f>
        <v/>
      </c>
      <c r="N349" s="7" t="n"/>
    </row>
    <row r="350">
      <c r="F350" s="7" t="n"/>
      <c r="G350" s="7" t="n"/>
      <c r="H350" s="8">
        <f>IF(OR(F350="",G350=""),"",MAX(0,ROUND((G350-F350)*1440,0)))</f>
        <v/>
      </c>
      <c r="I350" s="8">
        <f>IF(F350="","ไม่ครบ","ครบ")</f>
        <v/>
      </c>
      <c r="J350" s="8">
        <f>IF(G350="","ไม่ครบ","ครบ")</f>
        <v/>
      </c>
      <c r="K350" s="8">
        <f>IF(OR(F350="",G350=""),"ไม่ผ่าน",IF(H350&gt;=90,"ผ่าน","ไม่ผ่าน"))</f>
        <v/>
      </c>
      <c r="L350" s="8">
        <f>IF(K350="ผ่าน",1,0)</f>
        <v/>
      </c>
      <c r="N350" s="7" t="n"/>
    </row>
    <row r="351">
      <c r="F351" s="7" t="n"/>
      <c r="G351" s="7" t="n"/>
      <c r="H351" s="8">
        <f>IF(OR(F351="",G351=""),"",MAX(0,ROUND((G351-F351)*1440,0)))</f>
        <v/>
      </c>
      <c r="I351" s="8">
        <f>IF(F351="","ไม่ครบ","ครบ")</f>
        <v/>
      </c>
      <c r="J351" s="8">
        <f>IF(G351="","ไม่ครบ","ครบ")</f>
        <v/>
      </c>
      <c r="K351" s="8">
        <f>IF(OR(F351="",G351=""),"ไม่ผ่าน",IF(H351&gt;=90,"ผ่าน","ไม่ผ่าน"))</f>
        <v/>
      </c>
      <c r="L351" s="8">
        <f>IF(K351="ผ่าน",1,0)</f>
        <v/>
      </c>
      <c r="N351" s="7" t="n"/>
    </row>
    <row r="352">
      <c r="F352" s="7" t="n"/>
      <c r="G352" s="7" t="n"/>
      <c r="H352" s="8">
        <f>IF(OR(F352="",G352=""),"",MAX(0,ROUND((G352-F352)*1440,0)))</f>
        <v/>
      </c>
      <c r="I352" s="8">
        <f>IF(F352="","ไม่ครบ","ครบ")</f>
        <v/>
      </c>
      <c r="J352" s="8">
        <f>IF(G352="","ไม่ครบ","ครบ")</f>
        <v/>
      </c>
      <c r="K352" s="8">
        <f>IF(OR(F352="",G352=""),"ไม่ผ่าน",IF(H352&gt;=90,"ผ่าน","ไม่ผ่าน"))</f>
        <v/>
      </c>
      <c r="L352" s="8">
        <f>IF(K352="ผ่าน",1,0)</f>
        <v/>
      </c>
      <c r="N352" s="7" t="n"/>
    </row>
    <row r="353">
      <c r="F353" s="7" t="n"/>
      <c r="G353" s="7" t="n"/>
      <c r="H353" s="8">
        <f>IF(OR(F353="",G353=""),"",MAX(0,ROUND((G353-F353)*1440,0)))</f>
        <v/>
      </c>
      <c r="I353" s="8">
        <f>IF(F353="","ไม่ครบ","ครบ")</f>
        <v/>
      </c>
      <c r="J353" s="8">
        <f>IF(G353="","ไม่ครบ","ครบ")</f>
        <v/>
      </c>
      <c r="K353" s="8">
        <f>IF(OR(F353="",G353=""),"ไม่ผ่าน",IF(H353&gt;=90,"ผ่าน","ไม่ผ่าน"))</f>
        <v/>
      </c>
      <c r="L353" s="8">
        <f>IF(K353="ผ่าน",1,0)</f>
        <v/>
      </c>
      <c r="N353" s="7" t="n"/>
    </row>
    <row r="354">
      <c r="F354" s="7" t="n"/>
      <c r="G354" s="7" t="n"/>
      <c r="H354" s="8">
        <f>IF(OR(F354="",G354=""),"",MAX(0,ROUND((G354-F354)*1440,0)))</f>
        <v/>
      </c>
      <c r="I354" s="8">
        <f>IF(F354="","ไม่ครบ","ครบ")</f>
        <v/>
      </c>
      <c r="J354" s="8">
        <f>IF(G354="","ไม่ครบ","ครบ")</f>
        <v/>
      </c>
      <c r="K354" s="8">
        <f>IF(OR(F354="",G354=""),"ไม่ผ่าน",IF(H354&gt;=90,"ผ่าน","ไม่ผ่าน"))</f>
        <v/>
      </c>
      <c r="L354" s="8">
        <f>IF(K354="ผ่าน",1,0)</f>
        <v/>
      </c>
      <c r="N354" s="7" t="n"/>
    </row>
    <row r="355">
      <c r="F355" s="7" t="n"/>
      <c r="G355" s="7" t="n"/>
      <c r="H355" s="8">
        <f>IF(OR(F355="",G355=""),"",MAX(0,ROUND((G355-F355)*1440,0)))</f>
        <v/>
      </c>
      <c r="I355" s="8">
        <f>IF(F355="","ไม่ครบ","ครบ")</f>
        <v/>
      </c>
      <c r="J355" s="8">
        <f>IF(G355="","ไม่ครบ","ครบ")</f>
        <v/>
      </c>
      <c r="K355" s="8">
        <f>IF(OR(F355="",G355=""),"ไม่ผ่าน",IF(H355&gt;=90,"ผ่าน","ไม่ผ่าน"))</f>
        <v/>
      </c>
      <c r="L355" s="8">
        <f>IF(K355="ผ่าน",1,0)</f>
        <v/>
      </c>
      <c r="N355" s="7" t="n"/>
    </row>
    <row r="356">
      <c r="F356" s="7" t="n"/>
      <c r="G356" s="7" t="n"/>
      <c r="H356" s="8">
        <f>IF(OR(F356="",G356=""),"",MAX(0,ROUND((G356-F356)*1440,0)))</f>
        <v/>
      </c>
      <c r="I356" s="8">
        <f>IF(F356="","ไม่ครบ","ครบ")</f>
        <v/>
      </c>
      <c r="J356" s="8">
        <f>IF(G356="","ไม่ครบ","ครบ")</f>
        <v/>
      </c>
      <c r="K356" s="8">
        <f>IF(OR(F356="",G356=""),"ไม่ผ่าน",IF(H356&gt;=90,"ผ่าน","ไม่ผ่าน"))</f>
        <v/>
      </c>
      <c r="L356" s="8">
        <f>IF(K356="ผ่าน",1,0)</f>
        <v/>
      </c>
      <c r="N356" s="7" t="n"/>
    </row>
    <row r="357">
      <c r="F357" s="7" t="n"/>
      <c r="G357" s="7" t="n"/>
      <c r="H357" s="8">
        <f>IF(OR(F357="",G357=""),"",MAX(0,ROUND((G357-F357)*1440,0)))</f>
        <v/>
      </c>
      <c r="I357" s="8">
        <f>IF(F357="","ไม่ครบ","ครบ")</f>
        <v/>
      </c>
      <c r="J357" s="8">
        <f>IF(G357="","ไม่ครบ","ครบ")</f>
        <v/>
      </c>
      <c r="K357" s="8">
        <f>IF(OR(F357="",G357=""),"ไม่ผ่าน",IF(H357&gt;=90,"ผ่าน","ไม่ผ่าน"))</f>
        <v/>
      </c>
      <c r="L357" s="8">
        <f>IF(K357="ผ่าน",1,0)</f>
        <v/>
      </c>
      <c r="N357" s="7" t="n"/>
    </row>
    <row r="358">
      <c r="F358" s="7" t="n"/>
      <c r="G358" s="7" t="n"/>
      <c r="H358" s="8">
        <f>IF(OR(F358="",G358=""),"",MAX(0,ROUND((G358-F358)*1440,0)))</f>
        <v/>
      </c>
      <c r="I358" s="8">
        <f>IF(F358="","ไม่ครบ","ครบ")</f>
        <v/>
      </c>
      <c r="J358" s="8">
        <f>IF(G358="","ไม่ครบ","ครบ")</f>
        <v/>
      </c>
      <c r="K358" s="8">
        <f>IF(OR(F358="",G358=""),"ไม่ผ่าน",IF(H358&gt;=90,"ผ่าน","ไม่ผ่าน"))</f>
        <v/>
      </c>
      <c r="L358" s="8">
        <f>IF(K358="ผ่าน",1,0)</f>
        <v/>
      </c>
      <c r="N358" s="7" t="n"/>
    </row>
    <row r="359">
      <c r="F359" s="7" t="n"/>
      <c r="G359" s="7" t="n"/>
      <c r="H359" s="8">
        <f>IF(OR(F359="",G359=""),"",MAX(0,ROUND((G359-F359)*1440,0)))</f>
        <v/>
      </c>
      <c r="I359" s="8">
        <f>IF(F359="","ไม่ครบ","ครบ")</f>
        <v/>
      </c>
      <c r="J359" s="8">
        <f>IF(G359="","ไม่ครบ","ครบ")</f>
        <v/>
      </c>
      <c r="K359" s="8">
        <f>IF(OR(F359="",G359=""),"ไม่ผ่าน",IF(H359&gt;=90,"ผ่าน","ไม่ผ่าน"))</f>
        <v/>
      </c>
      <c r="L359" s="8">
        <f>IF(K359="ผ่าน",1,0)</f>
        <v/>
      </c>
      <c r="N359" s="7" t="n"/>
    </row>
    <row r="360">
      <c r="F360" s="7" t="n"/>
      <c r="G360" s="7" t="n"/>
      <c r="H360" s="8">
        <f>IF(OR(F360="",G360=""),"",MAX(0,ROUND((G360-F360)*1440,0)))</f>
        <v/>
      </c>
      <c r="I360" s="8">
        <f>IF(F360="","ไม่ครบ","ครบ")</f>
        <v/>
      </c>
      <c r="J360" s="8">
        <f>IF(G360="","ไม่ครบ","ครบ")</f>
        <v/>
      </c>
      <c r="K360" s="8">
        <f>IF(OR(F360="",G360=""),"ไม่ผ่าน",IF(H360&gt;=90,"ผ่าน","ไม่ผ่าน"))</f>
        <v/>
      </c>
      <c r="L360" s="8">
        <f>IF(K360="ผ่าน",1,0)</f>
        <v/>
      </c>
      <c r="N360" s="7" t="n"/>
    </row>
    <row r="361">
      <c r="F361" s="7" t="n"/>
      <c r="G361" s="7" t="n"/>
      <c r="H361" s="8">
        <f>IF(OR(F361="",G361=""),"",MAX(0,ROUND((G361-F361)*1440,0)))</f>
        <v/>
      </c>
      <c r="I361" s="8">
        <f>IF(F361="","ไม่ครบ","ครบ")</f>
        <v/>
      </c>
      <c r="J361" s="8">
        <f>IF(G361="","ไม่ครบ","ครบ")</f>
        <v/>
      </c>
      <c r="K361" s="8">
        <f>IF(OR(F361="",G361=""),"ไม่ผ่าน",IF(H361&gt;=90,"ผ่าน","ไม่ผ่าน"))</f>
        <v/>
      </c>
      <c r="L361" s="8">
        <f>IF(K361="ผ่าน",1,0)</f>
        <v/>
      </c>
      <c r="N361" s="7" t="n"/>
    </row>
    <row r="362">
      <c r="F362" s="7" t="n"/>
      <c r="G362" s="7" t="n"/>
      <c r="H362" s="8">
        <f>IF(OR(F362="",G362=""),"",MAX(0,ROUND((G362-F362)*1440,0)))</f>
        <v/>
      </c>
      <c r="I362" s="8">
        <f>IF(F362="","ไม่ครบ","ครบ")</f>
        <v/>
      </c>
      <c r="J362" s="8">
        <f>IF(G362="","ไม่ครบ","ครบ")</f>
        <v/>
      </c>
      <c r="K362" s="8">
        <f>IF(OR(F362="",G362=""),"ไม่ผ่าน",IF(H362&gt;=90,"ผ่าน","ไม่ผ่าน"))</f>
        <v/>
      </c>
      <c r="L362" s="8">
        <f>IF(K362="ผ่าน",1,0)</f>
        <v/>
      </c>
      <c r="N362" s="7" t="n"/>
    </row>
    <row r="363">
      <c r="F363" s="7" t="n"/>
      <c r="G363" s="7" t="n"/>
      <c r="H363" s="8">
        <f>IF(OR(F363="",G363=""),"",MAX(0,ROUND((G363-F363)*1440,0)))</f>
        <v/>
      </c>
      <c r="I363" s="8">
        <f>IF(F363="","ไม่ครบ","ครบ")</f>
        <v/>
      </c>
      <c r="J363" s="8">
        <f>IF(G363="","ไม่ครบ","ครบ")</f>
        <v/>
      </c>
      <c r="K363" s="8">
        <f>IF(OR(F363="",G363=""),"ไม่ผ่าน",IF(H363&gt;=90,"ผ่าน","ไม่ผ่าน"))</f>
        <v/>
      </c>
      <c r="L363" s="8">
        <f>IF(K363="ผ่าน",1,0)</f>
        <v/>
      </c>
      <c r="N363" s="7" t="n"/>
    </row>
    <row r="364">
      <c r="F364" s="7" t="n"/>
      <c r="G364" s="7" t="n"/>
      <c r="H364" s="8">
        <f>IF(OR(F364="",G364=""),"",MAX(0,ROUND((G364-F364)*1440,0)))</f>
        <v/>
      </c>
      <c r="I364" s="8">
        <f>IF(F364="","ไม่ครบ","ครบ")</f>
        <v/>
      </c>
      <c r="J364" s="8">
        <f>IF(G364="","ไม่ครบ","ครบ")</f>
        <v/>
      </c>
      <c r="K364" s="8">
        <f>IF(OR(F364="",G364=""),"ไม่ผ่าน",IF(H364&gt;=90,"ผ่าน","ไม่ผ่าน"))</f>
        <v/>
      </c>
      <c r="L364" s="8">
        <f>IF(K364="ผ่าน",1,0)</f>
        <v/>
      </c>
      <c r="N364" s="7" t="n"/>
    </row>
    <row r="365">
      <c r="F365" s="7" t="n"/>
      <c r="G365" s="7" t="n"/>
      <c r="H365" s="8">
        <f>IF(OR(F365="",G365=""),"",MAX(0,ROUND((G365-F365)*1440,0)))</f>
        <v/>
      </c>
      <c r="I365" s="8">
        <f>IF(F365="","ไม่ครบ","ครบ")</f>
        <v/>
      </c>
      <c r="J365" s="8">
        <f>IF(G365="","ไม่ครบ","ครบ")</f>
        <v/>
      </c>
      <c r="K365" s="8">
        <f>IF(OR(F365="",G365=""),"ไม่ผ่าน",IF(H365&gt;=90,"ผ่าน","ไม่ผ่าน"))</f>
        <v/>
      </c>
      <c r="L365" s="8">
        <f>IF(K365="ผ่าน",1,0)</f>
        <v/>
      </c>
      <c r="N365" s="7" t="n"/>
    </row>
    <row r="366">
      <c r="F366" s="7" t="n"/>
      <c r="G366" s="7" t="n"/>
      <c r="H366" s="8">
        <f>IF(OR(F366="",G366=""),"",MAX(0,ROUND((G366-F366)*1440,0)))</f>
        <v/>
      </c>
      <c r="I366" s="8">
        <f>IF(F366="","ไม่ครบ","ครบ")</f>
        <v/>
      </c>
      <c r="J366" s="8">
        <f>IF(G366="","ไม่ครบ","ครบ")</f>
        <v/>
      </c>
      <c r="K366" s="8">
        <f>IF(OR(F366="",G366=""),"ไม่ผ่าน",IF(H366&gt;=90,"ผ่าน","ไม่ผ่าน"))</f>
        <v/>
      </c>
      <c r="L366" s="8">
        <f>IF(K366="ผ่าน",1,0)</f>
        <v/>
      </c>
      <c r="N366" s="7" t="n"/>
    </row>
    <row r="367">
      <c r="F367" s="7" t="n"/>
      <c r="G367" s="7" t="n"/>
      <c r="H367" s="8">
        <f>IF(OR(F367="",G367=""),"",MAX(0,ROUND((G367-F367)*1440,0)))</f>
        <v/>
      </c>
      <c r="I367" s="8">
        <f>IF(F367="","ไม่ครบ","ครบ")</f>
        <v/>
      </c>
      <c r="J367" s="8">
        <f>IF(G367="","ไม่ครบ","ครบ")</f>
        <v/>
      </c>
      <c r="K367" s="8">
        <f>IF(OR(F367="",G367=""),"ไม่ผ่าน",IF(H367&gt;=90,"ผ่าน","ไม่ผ่าน"))</f>
        <v/>
      </c>
      <c r="L367" s="8">
        <f>IF(K367="ผ่าน",1,0)</f>
        <v/>
      </c>
      <c r="N367" s="7" t="n"/>
    </row>
    <row r="368">
      <c r="F368" s="7" t="n"/>
      <c r="G368" s="7" t="n"/>
      <c r="H368" s="8">
        <f>IF(OR(F368="",G368=""),"",MAX(0,ROUND((G368-F368)*1440,0)))</f>
        <v/>
      </c>
      <c r="I368" s="8">
        <f>IF(F368="","ไม่ครบ","ครบ")</f>
        <v/>
      </c>
      <c r="J368" s="8">
        <f>IF(G368="","ไม่ครบ","ครบ")</f>
        <v/>
      </c>
      <c r="K368" s="8">
        <f>IF(OR(F368="",G368=""),"ไม่ผ่าน",IF(H368&gt;=90,"ผ่าน","ไม่ผ่าน"))</f>
        <v/>
      </c>
      <c r="L368" s="8">
        <f>IF(K368="ผ่าน",1,0)</f>
        <v/>
      </c>
      <c r="N368" s="7" t="n"/>
    </row>
    <row r="369">
      <c r="F369" s="7" t="n"/>
      <c r="G369" s="7" t="n"/>
      <c r="H369" s="8">
        <f>IF(OR(F369="",G369=""),"",MAX(0,ROUND((G369-F369)*1440,0)))</f>
        <v/>
      </c>
      <c r="I369" s="8">
        <f>IF(F369="","ไม่ครบ","ครบ")</f>
        <v/>
      </c>
      <c r="J369" s="8">
        <f>IF(G369="","ไม่ครบ","ครบ")</f>
        <v/>
      </c>
      <c r="K369" s="8">
        <f>IF(OR(F369="",G369=""),"ไม่ผ่าน",IF(H369&gt;=90,"ผ่าน","ไม่ผ่าน"))</f>
        <v/>
      </c>
      <c r="L369" s="8">
        <f>IF(K369="ผ่าน",1,0)</f>
        <v/>
      </c>
      <c r="N369" s="7" t="n"/>
    </row>
    <row r="370">
      <c r="F370" s="7" t="n"/>
      <c r="G370" s="7" t="n"/>
      <c r="H370" s="8">
        <f>IF(OR(F370="",G370=""),"",MAX(0,ROUND((G370-F370)*1440,0)))</f>
        <v/>
      </c>
      <c r="I370" s="8">
        <f>IF(F370="","ไม่ครบ","ครบ")</f>
        <v/>
      </c>
      <c r="J370" s="8">
        <f>IF(G370="","ไม่ครบ","ครบ")</f>
        <v/>
      </c>
      <c r="K370" s="8">
        <f>IF(OR(F370="",G370=""),"ไม่ผ่าน",IF(H370&gt;=90,"ผ่าน","ไม่ผ่าน"))</f>
        <v/>
      </c>
      <c r="L370" s="8">
        <f>IF(K370="ผ่าน",1,0)</f>
        <v/>
      </c>
      <c r="N370" s="7" t="n"/>
    </row>
    <row r="371">
      <c r="F371" s="7" t="n"/>
      <c r="G371" s="7" t="n"/>
      <c r="H371" s="8">
        <f>IF(OR(F371="",G371=""),"",MAX(0,ROUND((G371-F371)*1440,0)))</f>
        <v/>
      </c>
      <c r="I371" s="8">
        <f>IF(F371="","ไม่ครบ","ครบ")</f>
        <v/>
      </c>
      <c r="J371" s="8">
        <f>IF(G371="","ไม่ครบ","ครบ")</f>
        <v/>
      </c>
      <c r="K371" s="8">
        <f>IF(OR(F371="",G371=""),"ไม่ผ่าน",IF(H371&gt;=90,"ผ่าน","ไม่ผ่าน"))</f>
        <v/>
      </c>
      <c r="L371" s="8">
        <f>IF(K371="ผ่าน",1,0)</f>
        <v/>
      </c>
      <c r="N371" s="7" t="n"/>
    </row>
    <row r="372">
      <c r="F372" s="7" t="n"/>
      <c r="G372" s="7" t="n"/>
      <c r="H372" s="8">
        <f>IF(OR(F372="",G372=""),"",MAX(0,ROUND((G372-F372)*1440,0)))</f>
        <v/>
      </c>
      <c r="I372" s="8">
        <f>IF(F372="","ไม่ครบ","ครบ")</f>
        <v/>
      </c>
      <c r="J372" s="8">
        <f>IF(G372="","ไม่ครบ","ครบ")</f>
        <v/>
      </c>
      <c r="K372" s="8">
        <f>IF(OR(F372="",G372=""),"ไม่ผ่าน",IF(H372&gt;=90,"ผ่าน","ไม่ผ่าน"))</f>
        <v/>
      </c>
      <c r="L372" s="8">
        <f>IF(K372="ผ่าน",1,0)</f>
        <v/>
      </c>
      <c r="N372" s="7" t="n"/>
    </row>
    <row r="373">
      <c r="F373" s="7" t="n"/>
      <c r="G373" s="7" t="n"/>
      <c r="H373" s="8">
        <f>IF(OR(F373="",G373=""),"",MAX(0,ROUND((G373-F373)*1440,0)))</f>
        <v/>
      </c>
      <c r="I373" s="8">
        <f>IF(F373="","ไม่ครบ","ครบ")</f>
        <v/>
      </c>
      <c r="J373" s="8">
        <f>IF(G373="","ไม่ครบ","ครบ")</f>
        <v/>
      </c>
      <c r="K373" s="8">
        <f>IF(OR(F373="",G373=""),"ไม่ผ่าน",IF(H373&gt;=90,"ผ่าน","ไม่ผ่าน"))</f>
        <v/>
      </c>
      <c r="L373" s="8">
        <f>IF(K373="ผ่าน",1,0)</f>
        <v/>
      </c>
      <c r="N373" s="7" t="n"/>
    </row>
    <row r="374">
      <c r="F374" s="7" t="n"/>
      <c r="G374" s="7" t="n"/>
      <c r="H374" s="8">
        <f>IF(OR(F374="",G374=""),"",MAX(0,ROUND((G374-F374)*1440,0)))</f>
        <v/>
      </c>
      <c r="I374" s="8">
        <f>IF(F374="","ไม่ครบ","ครบ")</f>
        <v/>
      </c>
      <c r="J374" s="8">
        <f>IF(G374="","ไม่ครบ","ครบ")</f>
        <v/>
      </c>
      <c r="K374" s="8">
        <f>IF(OR(F374="",G374=""),"ไม่ผ่าน",IF(H374&gt;=90,"ผ่าน","ไม่ผ่าน"))</f>
        <v/>
      </c>
      <c r="L374" s="8">
        <f>IF(K374="ผ่าน",1,0)</f>
        <v/>
      </c>
      <c r="N374" s="7" t="n"/>
    </row>
    <row r="375">
      <c r="F375" s="7" t="n"/>
      <c r="G375" s="7" t="n"/>
      <c r="H375" s="8">
        <f>IF(OR(F375="",G375=""),"",MAX(0,ROUND((G375-F375)*1440,0)))</f>
        <v/>
      </c>
      <c r="I375" s="8">
        <f>IF(F375="","ไม่ครบ","ครบ")</f>
        <v/>
      </c>
      <c r="J375" s="8">
        <f>IF(G375="","ไม่ครบ","ครบ")</f>
        <v/>
      </c>
      <c r="K375" s="8">
        <f>IF(OR(F375="",G375=""),"ไม่ผ่าน",IF(H375&gt;=90,"ผ่าน","ไม่ผ่าน"))</f>
        <v/>
      </c>
      <c r="L375" s="8">
        <f>IF(K375="ผ่าน",1,0)</f>
        <v/>
      </c>
      <c r="N375" s="7" t="n"/>
    </row>
    <row r="376">
      <c r="F376" s="7" t="n"/>
      <c r="G376" s="7" t="n"/>
      <c r="H376" s="8">
        <f>IF(OR(F376="",G376=""),"",MAX(0,ROUND((G376-F376)*1440,0)))</f>
        <v/>
      </c>
      <c r="I376" s="8">
        <f>IF(F376="","ไม่ครบ","ครบ")</f>
        <v/>
      </c>
      <c r="J376" s="8">
        <f>IF(G376="","ไม่ครบ","ครบ")</f>
        <v/>
      </c>
      <c r="K376" s="8">
        <f>IF(OR(F376="",G376=""),"ไม่ผ่าน",IF(H376&gt;=90,"ผ่าน","ไม่ผ่าน"))</f>
        <v/>
      </c>
      <c r="L376" s="8">
        <f>IF(K376="ผ่าน",1,0)</f>
        <v/>
      </c>
      <c r="N376" s="7" t="n"/>
    </row>
    <row r="377">
      <c r="F377" s="7" t="n"/>
      <c r="G377" s="7" t="n"/>
      <c r="H377" s="8">
        <f>IF(OR(F377="",G377=""),"",MAX(0,ROUND((G377-F377)*1440,0)))</f>
        <v/>
      </c>
      <c r="I377" s="8">
        <f>IF(F377="","ไม่ครบ","ครบ")</f>
        <v/>
      </c>
      <c r="J377" s="8">
        <f>IF(G377="","ไม่ครบ","ครบ")</f>
        <v/>
      </c>
      <c r="K377" s="8">
        <f>IF(OR(F377="",G377=""),"ไม่ผ่าน",IF(H377&gt;=90,"ผ่าน","ไม่ผ่าน"))</f>
        <v/>
      </c>
      <c r="L377" s="8">
        <f>IF(K377="ผ่าน",1,0)</f>
        <v/>
      </c>
      <c r="N377" s="7" t="n"/>
    </row>
    <row r="378">
      <c r="F378" s="7" t="n"/>
      <c r="G378" s="7" t="n"/>
      <c r="H378" s="8">
        <f>IF(OR(F378="",G378=""),"",MAX(0,ROUND((G378-F378)*1440,0)))</f>
        <v/>
      </c>
      <c r="I378" s="8">
        <f>IF(F378="","ไม่ครบ","ครบ")</f>
        <v/>
      </c>
      <c r="J378" s="8">
        <f>IF(G378="","ไม่ครบ","ครบ")</f>
        <v/>
      </c>
      <c r="K378" s="8">
        <f>IF(OR(F378="",G378=""),"ไม่ผ่าน",IF(H378&gt;=90,"ผ่าน","ไม่ผ่าน"))</f>
        <v/>
      </c>
      <c r="L378" s="8">
        <f>IF(K378="ผ่าน",1,0)</f>
        <v/>
      </c>
      <c r="N378" s="7" t="n"/>
    </row>
    <row r="379">
      <c r="F379" s="7" t="n"/>
      <c r="G379" s="7" t="n"/>
      <c r="H379" s="8">
        <f>IF(OR(F379="",G379=""),"",MAX(0,ROUND((G379-F379)*1440,0)))</f>
        <v/>
      </c>
      <c r="I379" s="8">
        <f>IF(F379="","ไม่ครบ","ครบ")</f>
        <v/>
      </c>
      <c r="J379" s="8">
        <f>IF(G379="","ไม่ครบ","ครบ")</f>
        <v/>
      </c>
      <c r="K379" s="8">
        <f>IF(OR(F379="",G379=""),"ไม่ผ่าน",IF(H379&gt;=90,"ผ่าน","ไม่ผ่าน"))</f>
        <v/>
      </c>
      <c r="L379" s="8">
        <f>IF(K379="ผ่าน",1,0)</f>
        <v/>
      </c>
      <c r="N379" s="7" t="n"/>
    </row>
    <row r="380">
      <c r="F380" s="7" t="n"/>
      <c r="G380" s="7" t="n"/>
      <c r="H380" s="8">
        <f>IF(OR(F380="",G380=""),"",MAX(0,ROUND((G380-F380)*1440,0)))</f>
        <v/>
      </c>
      <c r="I380" s="8">
        <f>IF(F380="","ไม่ครบ","ครบ")</f>
        <v/>
      </c>
      <c r="J380" s="8">
        <f>IF(G380="","ไม่ครบ","ครบ")</f>
        <v/>
      </c>
      <c r="K380" s="8">
        <f>IF(OR(F380="",G380=""),"ไม่ผ่าน",IF(H380&gt;=90,"ผ่าน","ไม่ผ่าน"))</f>
        <v/>
      </c>
      <c r="L380" s="8">
        <f>IF(K380="ผ่าน",1,0)</f>
        <v/>
      </c>
      <c r="N380" s="7" t="n"/>
    </row>
    <row r="381">
      <c r="F381" s="7" t="n"/>
      <c r="G381" s="7" t="n"/>
      <c r="H381" s="8">
        <f>IF(OR(F381="",G381=""),"",MAX(0,ROUND((G381-F381)*1440,0)))</f>
        <v/>
      </c>
      <c r="I381" s="8">
        <f>IF(F381="","ไม่ครบ","ครบ")</f>
        <v/>
      </c>
      <c r="J381" s="8">
        <f>IF(G381="","ไม่ครบ","ครบ")</f>
        <v/>
      </c>
      <c r="K381" s="8">
        <f>IF(OR(F381="",G381=""),"ไม่ผ่าน",IF(H381&gt;=90,"ผ่าน","ไม่ผ่าน"))</f>
        <v/>
      </c>
      <c r="L381" s="8">
        <f>IF(K381="ผ่าน",1,0)</f>
        <v/>
      </c>
      <c r="N381" s="7" t="n"/>
    </row>
    <row r="382">
      <c r="F382" s="7" t="n"/>
      <c r="G382" s="7" t="n"/>
      <c r="H382" s="8">
        <f>IF(OR(F382="",G382=""),"",MAX(0,ROUND((G382-F382)*1440,0)))</f>
        <v/>
      </c>
      <c r="I382" s="8">
        <f>IF(F382="","ไม่ครบ","ครบ")</f>
        <v/>
      </c>
      <c r="J382" s="8">
        <f>IF(G382="","ไม่ครบ","ครบ")</f>
        <v/>
      </c>
      <c r="K382" s="8">
        <f>IF(OR(F382="",G382=""),"ไม่ผ่าน",IF(H382&gt;=90,"ผ่าน","ไม่ผ่าน"))</f>
        <v/>
      </c>
      <c r="L382" s="8">
        <f>IF(K382="ผ่าน",1,0)</f>
        <v/>
      </c>
      <c r="N382" s="7" t="n"/>
    </row>
    <row r="383">
      <c r="F383" s="7" t="n"/>
      <c r="G383" s="7" t="n"/>
      <c r="H383" s="8">
        <f>IF(OR(F383="",G383=""),"",MAX(0,ROUND((G383-F383)*1440,0)))</f>
        <v/>
      </c>
      <c r="I383" s="8">
        <f>IF(F383="","ไม่ครบ","ครบ")</f>
        <v/>
      </c>
      <c r="J383" s="8">
        <f>IF(G383="","ไม่ครบ","ครบ")</f>
        <v/>
      </c>
      <c r="K383" s="8">
        <f>IF(OR(F383="",G383=""),"ไม่ผ่าน",IF(H383&gt;=90,"ผ่าน","ไม่ผ่าน"))</f>
        <v/>
      </c>
      <c r="L383" s="8">
        <f>IF(K383="ผ่าน",1,0)</f>
        <v/>
      </c>
      <c r="N383" s="7" t="n"/>
    </row>
    <row r="384">
      <c r="F384" s="7" t="n"/>
      <c r="G384" s="7" t="n"/>
      <c r="H384" s="8">
        <f>IF(OR(F384="",G384=""),"",MAX(0,ROUND((G384-F384)*1440,0)))</f>
        <v/>
      </c>
      <c r="I384" s="8">
        <f>IF(F384="","ไม่ครบ","ครบ")</f>
        <v/>
      </c>
      <c r="J384" s="8">
        <f>IF(G384="","ไม่ครบ","ครบ")</f>
        <v/>
      </c>
      <c r="K384" s="8">
        <f>IF(OR(F384="",G384=""),"ไม่ผ่าน",IF(H384&gt;=90,"ผ่าน","ไม่ผ่าน"))</f>
        <v/>
      </c>
      <c r="L384" s="8">
        <f>IF(K384="ผ่าน",1,0)</f>
        <v/>
      </c>
      <c r="N384" s="7" t="n"/>
    </row>
    <row r="385">
      <c r="F385" s="7" t="n"/>
      <c r="G385" s="7" t="n"/>
      <c r="H385" s="8">
        <f>IF(OR(F385="",G385=""),"",MAX(0,ROUND((G385-F385)*1440,0)))</f>
        <v/>
      </c>
      <c r="I385" s="8">
        <f>IF(F385="","ไม่ครบ","ครบ")</f>
        <v/>
      </c>
      <c r="J385" s="8">
        <f>IF(G385="","ไม่ครบ","ครบ")</f>
        <v/>
      </c>
      <c r="K385" s="8">
        <f>IF(OR(F385="",G385=""),"ไม่ผ่าน",IF(H385&gt;=90,"ผ่าน","ไม่ผ่าน"))</f>
        <v/>
      </c>
      <c r="L385" s="8">
        <f>IF(K385="ผ่าน",1,0)</f>
        <v/>
      </c>
      <c r="N385" s="7" t="n"/>
    </row>
    <row r="386">
      <c r="F386" s="7" t="n"/>
      <c r="G386" s="7" t="n"/>
      <c r="H386" s="8">
        <f>IF(OR(F386="",G386=""),"",MAX(0,ROUND((G386-F386)*1440,0)))</f>
        <v/>
      </c>
      <c r="I386" s="8">
        <f>IF(F386="","ไม่ครบ","ครบ")</f>
        <v/>
      </c>
      <c r="J386" s="8">
        <f>IF(G386="","ไม่ครบ","ครบ")</f>
        <v/>
      </c>
      <c r="K386" s="8">
        <f>IF(OR(F386="",G386=""),"ไม่ผ่าน",IF(H386&gt;=90,"ผ่าน","ไม่ผ่าน"))</f>
        <v/>
      </c>
      <c r="L386" s="8">
        <f>IF(K386="ผ่าน",1,0)</f>
        <v/>
      </c>
      <c r="N386" s="7" t="n"/>
    </row>
    <row r="387">
      <c r="F387" s="7" t="n"/>
      <c r="G387" s="7" t="n"/>
      <c r="H387" s="8">
        <f>IF(OR(F387="",G387=""),"",MAX(0,ROUND((G387-F387)*1440,0)))</f>
        <v/>
      </c>
      <c r="I387" s="8">
        <f>IF(F387="","ไม่ครบ","ครบ")</f>
        <v/>
      </c>
      <c r="J387" s="8">
        <f>IF(G387="","ไม่ครบ","ครบ")</f>
        <v/>
      </c>
      <c r="K387" s="8">
        <f>IF(OR(F387="",G387=""),"ไม่ผ่าน",IF(H387&gt;=90,"ผ่าน","ไม่ผ่าน"))</f>
        <v/>
      </c>
      <c r="L387" s="8">
        <f>IF(K387="ผ่าน",1,0)</f>
        <v/>
      </c>
      <c r="N387" s="7" t="n"/>
    </row>
    <row r="388">
      <c r="F388" s="7" t="n"/>
      <c r="G388" s="7" t="n"/>
      <c r="H388" s="8">
        <f>IF(OR(F388="",G388=""),"",MAX(0,ROUND((G388-F388)*1440,0)))</f>
        <v/>
      </c>
      <c r="I388" s="8">
        <f>IF(F388="","ไม่ครบ","ครบ")</f>
        <v/>
      </c>
      <c r="J388" s="8">
        <f>IF(G388="","ไม่ครบ","ครบ")</f>
        <v/>
      </c>
      <c r="K388" s="8">
        <f>IF(OR(F388="",G388=""),"ไม่ผ่าน",IF(H388&gt;=90,"ผ่าน","ไม่ผ่าน"))</f>
        <v/>
      </c>
      <c r="L388" s="8">
        <f>IF(K388="ผ่าน",1,0)</f>
        <v/>
      </c>
      <c r="N388" s="7" t="n"/>
    </row>
    <row r="389">
      <c r="F389" s="7" t="n"/>
      <c r="G389" s="7" t="n"/>
      <c r="H389" s="8">
        <f>IF(OR(F389="",G389=""),"",MAX(0,ROUND((G389-F389)*1440,0)))</f>
        <v/>
      </c>
      <c r="I389" s="8">
        <f>IF(F389="","ไม่ครบ","ครบ")</f>
        <v/>
      </c>
      <c r="J389" s="8">
        <f>IF(G389="","ไม่ครบ","ครบ")</f>
        <v/>
      </c>
      <c r="K389" s="8">
        <f>IF(OR(F389="",G389=""),"ไม่ผ่าน",IF(H389&gt;=90,"ผ่าน","ไม่ผ่าน"))</f>
        <v/>
      </c>
      <c r="L389" s="8">
        <f>IF(K389="ผ่าน",1,0)</f>
        <v/>
      </c>
      <c r="N389" s="7" t="n"/>
    </row>
    <row r="390">
      <c r="F390" s="7" t="n"/>
      <c r="G390" s="7" t="n"/>
      <c r="H390" s="8">
        <f>IF(OR(F390="",G390=""),"",MAX(0,ROUND((G390-F390)*1440,0)))</f>
        <v/>
      </c>
      <c r="I390" s="8">
        <f>IF(F390="","ไม่ครบ","ครบ")</f>
        <v/>
      </c>
      <c r="J390" s="8">
        <f>IF(G390="","ไม่ครบ","ครบ")</f>
        <v/>
      </c>
      <c r="K390" s="8">
        <f>IF(OR(F390="",G390=""),"ไม่ผ่าน",IF(H390&gt;=90,"ผ่าน","ไม่ผ่าน"))</f>
        <v/>
      </c>
      <c r="L390" s="8">
        <f>IF(K390="ผ่าน",1,0)</f>
        <v/>
      </c>
      <c r="N390" s="7" t="n"/>
    </row>
    <row r="391">
      <c r="F391" s="7" t="n"/>
      <c r="G391" s="7" t="n"/>
      <c r="H391" s="8">
        <f>IF(OR(F391="",G391=""),"",MAX(0,ROUND((G391-F391)*1440,0)))</f>
        <v/>
      </c>
      <c r="I391" s="8">
        <f>IF(F391="","ไม่ครบ","ครบ")</f>
        <v/>
      </c>
      <c r="J391" s="8">
        <f>IF(G391="","ไม่ครบ","ครบ")</f>
        <v/>
      </c>
      <c r="K391" s="8">
        <f>IF(OR(F391="",G391=""),"ไม่ผ่าน",IF(H391&gt;=90,"ผ่าน","ไม่ผ่าน"))</f>
        <v/>
      </c>
      <c r="L391" s="8">
        <f>IF(K391="ผ่าน",1,0)</f>
        <v/>
      </c>
      <c r="N391" s="7" t="n"/>
    </row>
    <row r="392">
      <c r="F392" s="7" t="n"/>
      <c r="G392" s="7" t="n"/>
      <c r="H392" s="8">
        <f>IF(OR(F392="",G392=""),"",MAX(0,ROUND((G392-F392)*1440,0)))</f>
        <v/>
      </c>
      <c r="I392" s="8">
        <f>IF(F392="","ไม่ครบ","ครบ")</f>
        <v/>
      </c>
      <c r="J392" s="8">
        <f>IF(G392="","ไม่ครบ","ครบ")</f>
        <v/>
      </c>
      <c r="K392" s="8">
        <f>IF(OR(F392="",G392=""),"ไม่ผ่าน",IF(H392&gt;=90,"ผ่าน","ไม่ผ่าน"))</f>
        <v/>
      </c>
      <c r="L392" s="8">
        <f>IF(K392="ผ่าน",1,0)</f>
        <v/>
      </c>
      <c r="N392" s="7" t="n"/>
    </row>
    <row r="393">
      <c r="F393" s="7" t="n"/>
      <c r="G393" s="7" t="n"/>
      <c r="H393" s="8">
        <f>IF(OR(F393="",G393=""),"",MAX(0,ROUND((G393-F393)*1440,0)))</f>
        <v/>
      </c>
      <c r="I393" s="8">
        <f>IF(F393="","ไม่ครบ","ครบ")</f>
        <v/>
      </c>
      <c r="J393" s="8">
        <f>IF(G393="","ไม่ครบ","ครบ")</f>
        <v/>
      </c>
      <c r="K393" s="8">
        <f>IF(OR(F393="",G393=""),"ไม่ผ่าน",IF(H393&gt;=90,"ผ่าน","ไม่ผ่าน"))</f>
        <v/>
      </c>
      <c r="L393" s="8">
        <f>IF(K393="ผ่าน",1,0)</f>
        <v/>
      </c>
      <c r="N393" s="7" t="n"/>
    </row>
    <row r="394">
      <c r="F394" s="7" t="n"/>
      <c r="G394" s="7" t="n"/>
      <c r="H394" s="8">
        <f>IF(OR(F394="",G394=""),"",MAX(0,ROUND((G394-F394)*1440,0)))</f>
        <v/>
      </c>
      <c r="I394" s="8">
        <f>IF(F394="","ไม่ครบ","ครบ")</f>
        <v/>
      </c>
      <c r="J394" s="8">
        <f>IF(G394="","ไม่ครบ","ครบ")</f>
        <v/>
      </c>
      <c r="K394" s="8">
        <f>IF(OR(F394="",G394=""),"ไม่ผ่าน",IF(H394&gt;=90,"ผ่าน","ไม่ผ่าน"))</f>
        <v/>
      </c>
      <c r="L394" s="8">
        <f>IF(K394="ผ่าน",1,0)</f>
        <v/>
      </c>
      <c r="N394" s="7" t="n"/>
    </row>
    <row r="395">
      <c r="F395" s="7" t="n"/>
      <c r="G395" s="7" t="n"/>
      <c r="H395" s="8">
        <f>IF(OR(F395="",G395=""),"",MAX(0,ROUND((G395-F395)*1440,0)))</f>
        <v/>
      </c>
      <c r="I395" s="8">
        <f>IF(F395="","ไม่ครบ","ครบ")</f>
        <v/>
      </c>
      <c r="J395" s="8">
        <f>IF(G395="","ไม่ครบ","ครบ")</f>
        <v/>
      </c>
      <c r="K395" s="8">
        <f>IF(OR(F395="",G395=""),"ไม่ผ่าน",IF(H395&gt;=90,"ผ่าน","ไม่ผ่าน"))</f>
        <v/>
      </c>
      <c r="L395" s="8">
        <f>IF(K395="ผ่าน",1,0)</f>
        <v/>
      </c>
      <c r="N395" s="7" t="n"/>
    </row>
    <row r="396">
      <c r="F396" s="7" t="n"/>
      <c r="G396" s="7" t="n"/>
      <c r="H396" s="8">
        <f>IF(OR(F396="",G396=""),"",MAX(0,ROUND((G396-F396)*1440,0)))</f>
        <v/>
      </c>
      <c r="I396" s="8">
        <f>IF(F396="","ไม่ครบ","ครบ")</f>
        <v/>
      </c>
      <c r="J396" s="8">
        <f>IF(G396="","ไม่ครบ","ครบ")</f>
        <v/>
      </c>
      <c r="K396" s="8">
        <f>IF(OR(F396="",G396=""),"ไม่ผ่าน",IF(H396&gt;=90,"ผ่าน","ไม่ผ่าน"))</f>
        <v/>
      </c>
      <c r="L396" s="8">
        <f>IF(K396="ผ่าน",1,0)</f>
        <v/>
      </c>
      <c r="N396" s="7" t="n"/>
    </row>
    <row r="397">
      <c r="F397" s="7" t="n"/>
      <c r="G397" s="7" t="n"/>
      <c r="H397" s="8">
        <f>IF(OR(F397="",G397=""),"",MAX(0,ROUND((G397-F397)*1440,0)))</f>
        <v/>
      </c>
      <c r="I397" s="8">
        <f>IF(F397="","ไม่ครบ","ครบ")</f>
        <v/>
      </c>
      <c r="J397" s="8">
        <f>IF(G397="","ไม่ครบ","ครบ")</f>
        <v/>
      </c>
      <c r="K397" s="8">
        <f>IF(OR(F397="",G397=""),"ไม่ผ่าน",IF(H397&gt;=90,"ผ่าน","ไม่ผ่าน"))</f>
        <v/>
      </c>
      <c r="L397" s="8">
        <f>IF(K397="ผ่าน",1,0)</f>
        <v/>
      </c>
      <c r="N397" s="7" t="n"/>
    </row>
    <row r="398">
      <c r="F398" s="7" t="n"/>
      <c r="G398" s="7" t="n"/>
      <c r="H398" s="8">
        <f>IF(OR(F398="",G398=""),"",MAX(0,ROUND((G398-F398)*1440,0)))</f>
        <v/>
      </c>
      <c r="I398" s="8">
        <f>IF(F398="","ไม่ครบ","ครบ")</f>
        <v/>
      </c>
      <c r="J398" s="8">
        <f>IF(G398="","ไม่ครบ","ครบ")</f>
        <v/>
      </c>
      <c r="K398" s="8">
        <f>IF(OR(F398="",G398=""),"ไม่ผ่าน",IF(H398&gt;=90,"ผ่าน","ไม่ผ่าน"))</f>
        <v/>
      </c>
      <c r="L398" s="8">
        <f>IF(K398="ผ่าน",1,0)</f>
        <v/>
      </c>
      <c r="N398" s="7" t="n"/>
    </row>
    <row r="399">
      <c r="F399" s="7" t="n"/>
      <c r="G399" s="7" t="n"/>
      <c r="H399" s="8">
        <f>IF(OR(F399="",G399=""),"",MAX(0,ROUND((G399-F399)*1440,0)))</f>
        <v/>
      </c>
      <c r="I399" s="8">
        <f>IF(F399="","ไม่ครบ","ครบ")</f>
        <v/>
      </c>
      <c r="J399" s="8">
        <f>IF(G399="","ไม่ครบ","ครบ")</f>
        <v/>
      </c>
      <c r="K399" s="8">
        <f>IF(OR(F399="",G399=""),"ไม่ผ่าน",IF(H399&gt;=90,"ผ่าน","ไม่ผ่าน"))</f>
        <v/>
      </c>
      <c r="L399" s="8">
        <f>IF(K399="ผ่าน",1,0)</f>
        <v/>
      </c>
      <c r="N399" s="7" t="n"/>
    </row>
    <row r="400">
      <c r="F400" s="7" t="n"/>
      <c r="G400" s="7" t="n"/>
      <c r="H400" s="8">
        <f>IF(OR(F400="",G400=""),"",MAX(0,ROUND((G400-F400)*1440,0)))</f>
        <v/>
      </c>
      <c r="I400" s="8">
        <f>IF(F400="","ไม่ครบ","ครบ")</f>
        <v/>
      </c>
      <c r="J400" s="8">
        <f>IF(G400="","ไม่ครบ","ครบ")</f>
        <v/>
      </c>
      <c r="K400" s="8">
        <f>IF(OR(F400="",G400=""),"ไม่ผ่าน",IF(H400&gt;=90,"ผ่าน","ไม่ผ่าน"))</f>
        <v/>
      </c>
      <c r="L400" s="8">
        <f>IF(K400="ผ่าน",1,0)</f>
        <v/>
      </c>
      <c r="N400" s="7" t="n"/>
    </row>
    <row r="401">
      <c r="F401" s="7" t="n"/>
      <c r="G401" s="7" t="n"/>
      <c r="H401" s="8">
        <f>IF(OR(F401="",G401=""),"",MAX(0,ROUND((G401-F401)*1440,0)))</f>
        <v/>
      </c>
      <c r="I401" s="8">
        <f>IF(F401="","ไม่ครบ","ครบ")</f>
        <v/>
      </c>
      <c r="J401" s="8">
        <f>IF(G401="","ไม่ครบ","ครบ")</f>
        <v/>
      </c>
      <c r="K401" s="8">
        <f>IF(OR(F401="",G401=""),"ไม่ผ่าน",IF(H401&gt;=90,"ผ่าน","ไม่ผ่าน"))</f>
        <v/>
      </c>
      <c r="L401" s="8">
        <f>IF(K401="ผ่าน",1,0)</f>
        <v/>
      </c>
      <c r="N401" s="7" t="n"/>
    </row>
    <row r="402">
      <c r="F402" s="7" t="n"/>
      <c r="G402" s="7" t="n"/>
      <c r="H402" s="8">
        <f>IF(OR(F402="",G402=""),"",MAX(0,ROUND((G402-F402)*1440,0)))</f>
        <v/>
      </c>
      <c r="I402" s="8">
        <f>IF(F402="","ไม่ครบ","ครบ")</f>
        <v/>
      </c>
      <c r="J402" s="8">
        <f>IF(G402="","ไม่ครบ","ครบ")</f>
        <v/>
      </c>
      <c r="K402" s="8">
        <f>IF(OR(F402="",G402=""),"ไม่ผ่าน",IF(H402&gt;=90,"ผ่าน","ไม่ผ่าน"))</f>
        <v/>
      </c>
      <c r="L402" s="8">
        <f>IF(K402="ผ่าน",1,0)</f>
        <v/>
      </c>
      <c r="N402" s="7" t="n"/>
    </row>
    <row r="403">
      <c r="F403" s="7" t="n"/>
      <c r="G403" s="7" t="n"/>
      <c r="H403" s="8">
        <f>IF(OR(F403="",G403=""),"",MAX(0,ROUND((G403-F403)*1440,0)))</f>
        <v/>
      </c>
      <c r="I403" s="8">
        <f>IF(F403="","ไม่ครบ","ครบ")</f>
        <v/>
      </c>
      <c r="J403" s="8">
        <f>IF(G403="","ไม่ครบ","ครบ")</f>
        <v/>
      </c>
      <c r="K403" s="8">
        <f>IF(OR(F403="",G403=""),"ไม่ผ่าน",IF(H403&gt;=90,"ผ่าน","ไม่ผ่าน"))</f>
        <v/>
      </c>
      <c r="L403" s="8">
        <f>IF(K403="ผ่าน",1,0)</f>
        <v/>
      </c>
      <c r="N403" s="7" t="n"/>
    </row>
    <row r="404">
      <c r="F404" s="7" t="n"/>
      <c r="G404" s="7" t="n"/>
      <c r="H404" s="8">
        <f>IF(OR(F404="",G404=""),"",MAX(0,ROUND((G404-F404)*1440,0)))</f>
        <v/>
      </c>
      <c r="I404" s="8">
        <f>IF(F404="","ไม่ครบ","ครบ")</f>
        <v/>
      </c>
      <c r="J404" s="8">
        <f>IF(G404="","ไม่ครบ","ครบ")</f>
        <v/>
      </c>
      <c r="K404" s="8">
        <f>IF(OR(F404="",G404=""),"ไม่ผ่าน",IF(H404&gt;=90,"ผ่าน","ไม่ผ่าน"))</f>
        <v/>
      </c>
      <c r="L404" s="8">
        <f>IF(K404="ผ่าน",1,0)</f>
        <v/>
      </c>
      <c r="N404" s="7" t="n"/>
    </row>
    <row r="405">
      <c r="F405" s="7" t="n"/>
      <c r="G405" s="7" t="n"/>
      <c r="H405" s="8">
        <f>IF(OR(F405="",G405=""),"",MAX(0,ROUND((G405-F405)*1440,0)))</f>
        <v/>
      </c>
      <c r="I405" s="8">
        <f>IF(F405="","ไม่ครบ","ครบ")</f>
        <v/>
      </c>
      <c r="J405" s="8">
        <f>IF(G405="","ไม่ครบ","ครบ")</f>
        <v/>
      </c>
      <c r="K405" s="8">
        <f>IF(OR(F405="",G405=""),"ไม่ผ่าน",IF(H405&gt;=90,"ผ่าน","ไม่ผ่าน"))</f>
        <v/>
      </c>
      <c r="L405" s="8">
        <f>IF(K405="ผ่าน",1,0)</f>
        <v/>
      </c>
      <c r="N405" s="7" t="n"/>
    </row>
    <row r="406">
      <c r="F406" s="7" t="n"/>
      <c r="G406" s="7" t="n"/>
      <c r="H406" s="8">
        <f>IF(OR(F406="",G406=""),"",MAX(0,ROUND((G406-F406)*1440,0)))</f>
        <v/>
      </c>
      <c r="I406" s="8">
        <f>IF(F406="","ไม่ครบ","ครบ")</f>
        <v/>
      </c>
      <c r="J406" s="8">
        <f>IF(G406="","ไม่ครบ","ครบ")</f>
        <v/>
      </c>
      <c r="K406" s="8">
        <f>IF(OR(F406="",G406=""),"ไม่ผ่าน",IF(H406&gt;=90,"ผ่าน","ไม่ผ่าน"))</f>
        <v/>
      </c>
      <c r="L406" s="8">
        <f>IF(K406="ผ่าน",1,0)</f>
        <v/>
      </c>
      <c r="N406" s="7" t="n"/>
    </row>
    <row r="407">
      <c r="F407" s="7" t="n"/>
      <c r="G407" s="7" t="n"/>
      <c r="H407" s="8">
        <f>IF(OR(F407="",G407=""),"",MAX(0,ROUND((G407-F407)*1440,0)))</f>
        <v/>
      </c>
      <c r="I407" s="8">
        <f>IF(F407="","ไม่ครบ","ครบ")</f>
        <v/>
      </c>
      <c r="J407" s="8">
        <f>IF(G407="","ไม่ครบ","ครบ")</f>
        <v/>
      </c>
      <c r="K407" s="8">
        <f>IF(OR(F407="",G407=""),"ไม่ผ่าน",IF(H407&gt;=90,"ผ่าน","ไม่ผ่าน"))</f>
        <v/>
      </c>
      <c r="L407" s="8">
        <f>IF(K407="ผ่าน",1,0)</f>
        <v/>
      </c>
      <c r="N407" s="7" t="n"/>
    </row>
    <row r="408">
      <c r="F408" s="7" t="n"/>
      <c r="G408" s="7" t="n"/>
      <c r="H408" s="8">
        <f>IF(OR(F408="",G408=""),"",MAX(0,ROUND((G408-F408)*1440,0)))</f>
        <v/>
      </c>
      <c r="I408" s="8">
        <f>IF(F408="","ไม่ครบ","ครบ")</f>
        <v/>
      </c>
      <c r="J408" s="8">
        <f>IF(G408="","ไม่ครบ","ครบ")</f>
        <v/>
      </c>
      <c r="K408" s="8">
        <f>IF(OR(F408="",G408=""),"ไม่ผ่าน",IF(H408&gt;=90,"ผ่าน","ไม่ผ่าน"))</f>
        <v/>
      </c>
      <c r="L408" s="8">
        <f>IF(K408="ผ่าน",1,0)</f>
        <v/>
      </c>
      <c r="N408" s="7" t="n"/>
    </row>
    <row r="409">
      <c r="F409" s="7" t="n"/>
      <c r="G409" s="7" t="n"/>
      <c r="H409" s="8">
        <f>IF(OR(F409="",G409=""),"",MAX(0,ROUND((G409-F409)*1440,0)))</f>
        <v/>
      </c>
      <c r="I409" s="8">
        <f>IF(F409="","ไม่ครบ","ครบ")</f>
        <v/>
      </c>
      <c r="J409" s="8">
        <f>IF(G409="","ไม่ครบ","ครบ")</f>
        <v/>
      </c>
      <c r="K409" s="8">
        <f>IF(OR(F409="",G409=""),"ไม่ผ่าน",IF(H409&gt;=90,"ผ่าน","ไม่ผ่าน"))</f>
        <v/>
      </c>
      <c r="L409" s="8">
        <f>IF(K409="ผ่าน",1,0)</f>
        <v/>
      </c>
      <c r="N409" s="7" t="n"/>
    </row>
    <row r="410">
      <c r="F410" s="7" t="n"/>
      <c r="G410" s="7" t="n"/>
      <c r="H410" s="8">
        <f>IF(OR(F410="",G410=""),"",MAX(0,ROUND((G410-F410)*1440,0)))</f>
        <v/>
      </c>
      <c r="I410" s="8">
        <f>IF(F410="","ไม่ครบ","ครบ")</f>
        <v/>
      </c>
      <c r="J410" s="8">
        <f>IF(G410="","ไม่ครบ","ครบ")</f>
        <v/>
      </c>
      <c r="K410" s="8">
        <f>IF(OR(F410="",G410=""),"ไม่ผ่าน",IF(H410&gt;=90,"ผ่าน","ไม่ผ่าน"))</f>
        <v/>
      </c>
      <c r="L410" s="8">
        <f>IF(K410="ผ่าน",1,0)</f>
        <v/>
      </c>
      <c r="N410" s="7" t="n"/>
    </row>
    <row r="411">
      <c r="F411" s="7" t="n"/>
      <c r="G411" s="7" t="n"/>
      <c r="H411" s="8">
        <f>IF(OR(F411="",G411=""),"",MAX(0,ROUND((G411-F411)*1440,0)))</f>
        <v/>
      </c>
      <c r="I411" s="8">
        <f>IF(F411="","ไม่ครบ","ครบ")</f>
        <v/>
      </c>
      <c r="J411" s="8">
        <f>IF(G411="","ไม่ครบ","ครบ")</f>
        <v/>
      </c>
      <c r="K411" s="8">
        <f>IF(OR(F411="",G411=""),"ไม่ผ่าน",IF(H411&gt;=90,"ผ่าน","ไม่ผ่าน"))</f>
        <v/>
      </c>
      <c r="L411" s="8">
        <f>IF(K411="ผ่าน",1,0)</f>
        <v/>
      </c>
      <c r="N411" s="7" t="n"/>
    </row>
    <row r="412">
      <c r="F412" s="7" t="n"/>
      <c r="G412" s="7" t="n"/>
      <c r="H412" s="8">
        <f>IF(OR(F412="",G412=""),"",MAX(0,ROUND((G412-F412)*1440,0)))</f>
        <v/>
      </c>
      <c r="I412" s="8">
        <f>IF(F412="","ไม่ครบ","ครบ")</f>
        <v/>
      </c>
      <c r="J412" s="8">
        <f>IF(G412="","ไม่ครบ","ครบ")</f>
        <v/>
      </c>
      <c r="K412" s="8">
        <f>IF(OR(F412="",G412=""),"ไม่ผ่าน",IF(H412&gt;=90,"ผ่าน","ไม่ผ่าน"))</f>
        <v/>
      </c>
      <c r="L412" s="8">
        <f>IF(K412="ผ่าน",1,0)</f>
        <v/>
      </c>
      <c r="N412" s="7" t="n"/>
    </row>
    <row r="413">
      <c r="F413" s="7" t="n"/>
      <c r="G413" s="7" t="n"/>
      <c r="H413" s="8">
        <f>IF(OR(F413="",G413=""),"",MAX(0,ROUND((G413-F413)*1440,0)))</f>
        <v/>
      </c>
      <c r="I413" s="8">
        <f>IF(F413="","ไม่ครบ","ครบ")</f>
        <v/>
      </c>
      <c r="J413" s="8">
        <f>IF(G413="","ไม่ครบ","ครบ")</f>
        <v/>
      </c>
      <c r="K413" s="8">
        <f>IF(OR(F413="",G413=""),"ไม่ผ่าน",IF(H413&gt;=90,"ผ่าน","ไม่ผ่าน"))</f>
        <v/>
      </c>
      <c r="L413" s="8">
        <f>IF(K413="ผ่าน",1,0)</f>
        <v/>
      </c>
      <c r="N413" s="7" t="n"/>
    </row>
    <row r="414">
      <c r="F414" s="7" t="n"/>
      <c r="G414" s="7" t="n"/>
      <c r="H414" s="8">
        <f>IF(OR(F414="",G414=""),"",MAX(0,ROUND((G414-F414)*1440,0)))</f>
        <v/>
      </c>
      <c r="I414" s="8">
        <f>IF(F414="","ไม่ครบ","ครบ")</f>
        <v/>
      </c>
      <c r="J414" s="8">
        <f>IF(G414="","ไม่ครบ","ครบ")</f>
        <v/>
      </c>
      <c r="K414" s="8">
        <f>IF(OR(F414="",G414=""),"ไม่ผ่าน",IF(H414&gt;=90,"ผ่าน","ไม่ผ่าน"))</f>
        <v/>
      </c>
      <c r="L414" s="8">
        <f>IF(K414="ผ่าน",1,0)</f>
        <v/>
      </c>
      <c r="N414" s="7" t="n"/>
    </row>
    <row r="415">
      <c r="F415" s="7" t="n"/>
      <c r="G415" s="7" t="n"/>
      <c r="H415" s="8">
        <f>IF(OR(F415="",G415=""),"",MAX(0,ROUND((G415-F415)*1440,0)))</f>
        <v/>
      </c>
      <c r="I415" s="8">
        <f>IF(F415="","ไม่ครบ","ครบ")</f>
        <v/>
      </c>
      <c r="J415" s="8">
        <f>IF(G415="","ไม่ครบ","ครบ")</f>
        <v/>
      </c>
      <c r="K415" s="8">
        <f>IF(OR(F415="",G415=""),"ไม่ผ่าน",IF(H415&gt;=90,"ผ่าน","ไม่ผ่าน"))</f>
        <v/>
      </c>
      <c r="L415" s="8">
        <f>IF(K415="ผ่าน",1,0)</f>
        <v/>
      </c>
      <c r="N415" s="7" t="n"/>
    </row>
    <row r="416">
      <c r="F416" s="7" t="n"/>
      <c r="G416" s="7" t="n"/>
      <c r="H416" s="8">
        <f>IF(OR(F416="",G416=""),"",MAX(0,ROUND((G416-F416)*1440,0)))</f>
        <v/>
      </c>
      <c r="I416" s="8">
        <f>IF(F416="","ไม่ครบ","ครบ")</f>
        <v/>
      </c>
      <c r="J416" s="8">
        <f>IF(G416="","ไม่ครบ","ครบ")</f>
        <v/>
      </c>
      <c r="K416" s="8">
        <f>IF(OR(F416="",G416=""),"ไม่ผ่าน",IF(H416&gt;=90,"ผ่าน","ไม่ผ่าน"))</f>
        <v/>
      </c>
      <c r="L416" s="8">
        <f>IF(K416="ผ่าน",1,0)</f>
        <v/>
      </c>
      <c r="N416" s="7" t="n"/>
    </row>
    <row r="417">
      <c r="F417" s="7" t="n"/>
      <c r="G417" s="7" t="n"/>
      <c r="H417" s="8">
        <f>IF(OR(F417="",G417=""),"",MAX(0,ROUND((G417-F417)*1440,0)))</f>
        <v/>
      </c>
      <c r="I417" s="8">
        <f>IF(F417="","ไม่ครบ","ครบ")</f>
        <v/>
      </c>
      <c r="J417" s="8">
        <f>IF(G417="","ไม่ครบ","ครบ")</f>
        <v/>
      </c>
      <c r="K417" s="8">
        <f>IF(OR(F417="",G417=""),"ไม่ผ่าน",IF(H417&gt;=90,"ผ่าน","ไม่ผ่าน"))</f>
        <v/>
      </c>
      <c r="L417" s="8">
        <f>IF(K417="ผ่าน",1,0)</f>
        <v/>
      </c>
      <c r="N417" s="7" t="n"/>
    </row>
    <row r="418">
      <c r="F418" s="7" t="n"/>
      <c r="G418" s="7" t="n"/>
      <c r="H418" s="8">
        <f>IF(OR(F418="",G418=""),"",MAX(0,ROUND((G418-F418)*1440,0)))</f>
        <v/>
      </c>
      <c r="I418" s="8">
        <f>IF(F418="","ไม่ครบ","ครบ")</f>
        <v/>
      </c>
      <c r="J418" s="8">
        <f>IF(G418="","ไม่ครบ","ครบ")</f>
        <v/>
      </c>
      <c r="K418" s="8">
        <f>IF(OR(F418="",G418=""),"ไม่ผ่าน",IF(H418&gt;=90,"ผ่าน","ไม่ผ่าน"))</f>
        <v/>
      </c>
      <c r="L418" s="8">
        <f>IF(K418="ผ่าน",1,0)</f>
        <v/>
      </c>
      <c r="N418" s="7" t="n"/>
    </row>
    <row r="419">
      <c r="F419" s="7" t="n"/>
      <c r="G419" s="7" t="n"/>
      <c r="H419" s="8">
        <f>IF(OR(F419="",G419=""),"",MAX(0,ROUND((G419-F419)*1440,0)))</f>
        <v/>
      </c>
      <c r="I419" s="8">
        <f>IF(F419="","ไม่ครบ","ครบ")</f>
        <v/>
      </c>
      <c r="J419" s="8">
        <f>IF(G419="","ไม่ครบ","ครบ")</f>
        <v/>
      </c>
      <c r="K419" s="8">
        <f>IF(OR(F419="",G419=""),"ไม่ผ่าน",IF(H419&gt;=90,"ผ่าน","ไม่ผ่าน"))</f>
        <v/>
      </c>
      <c r="L419" s="8">
        <f>IF(K419="ผ่าน",1,0)</f>
        <v/>
      </c>
      <c r="N419" s="7" t="n"/>
    </row>
    <row r="420">
      <c r="F420" s="7" t="n"/>
      <c r="G420" s="7" t="n"/>
      <c r="H420" s="8">
        <f>IF(OR(F420="",G420=""),"",MAX(0,ROUND((G420-F420)*1440,0)))</f>
        <v/>
      </c>
      <c r="I420" s="8">
        <f>IF(F420="","ไม่ครบ","ครบ")</f>
        <v/>
      </c>
      <c r="J420" s="8">
        <f>IF(G420="","ไม่ครบ","ครบ")</f>
        <v/>
      </c>
      <c r="K420" s="8">
        <f>IF(OR(F420="",G420=""),"ไม่ผ่าน",IF(H420&gt;=90,"ผ่าน","ไม่ผ่าน"))</f>
        <v/>
      </c>
      <c r="L420" s="8">
        <f>IF(K420="ผ่าน",1,0)</f>
        <v/>
      </c>
      <c r="N420" s="7" t="n"/>
    </row>
    <row r="421">
      <c r="F421" s="7" t="n"/>
      <c r="G421" s="7" t="n"/>
      <c r="H421" s="8">
        <f>IF(OR(F421="",G421=""),"",MAX(0,ROUND((G421-F421)*1440,0)))</f>
        <v/>
      </c>
      <c r="I421" s="8">
        <f>IF(F421="","ไม่ครบ","ครบ")</f>
        <v/>
      </c>
      <c r="J421" s="8">
        <f>IF(G421="","ไม่ครบ","ครบ")</f>
        <v/>
      </c>
      <c r="K421" s="8">
        <f>IF(OR(F421="",G421=""),"ไม่ผ่าน",IF(H421&gt;=90,"ผ่าน","ไม่ผ่าน"))</f>
        <v/>
      </c>
      <c r="L421" s="8">
        <f>IF(K421="ผ่าน",1,0)</f>
        <v/>
      </c>
      <c r="N421" s="7" t="n"/>
    </row>
    <row r="422">
      <c r="F422" s="7" t="n"/>
      <c r="G422" s="7" t="n"/>
      <c r="H422" s="8">
        <f>IF(OR(F422="",G422=""),"",MAX(0,ROUND((G422-F422)*1440,0)))</f>
        <v/>
      </c>
      <c r="I422" s="8">
        <f>IF(F422="","ไม่ครบ","ครบ")</f>
        <v/>
      </c>
      <c r="J422" s="8">
        <f>IF(G422="","ไม่ครบ","ครบ")</f>
        <v/>
      </c>
      <c r="K422" s="8">
        <f>IF(OR(F422="",G422=""),"ไม่ผ่าน",IF(H422&gt;=90,"ผ่าน","ไม่ผ่าน"))</f>
        <v/>
      </c>
      <c r="L422" s="8">
        <f>IF(K422="ผ่าน",1,0)</f>
        <v/>
      </c>
      <c r="N422" s="7" t="n"/>
    </row>
    <row r="423">
      <c r="F423" s="7" t="n"/>
      <c r="G423" s="7" t="n"/>
      <c r="H423" s="8">
        <f>IF(OR(F423="",G423=""),"",MAX(0,ROUND((G423-F423)*1440,0)))</f>
        <v/>
      </c>
      <c r="I423" s="8">
        <f>IF(F423="","ไม่ครบ","ครบ")</f>
        <v/>
      </c>
      <c r="J423" s="8">
        <f>IF(G423="","ไม่ครบ","ครบ")</f>
        <v/>
      </c>
      <c r="K423" s="8">
        <f>IF(OR(F423="",G423=""),"ไม่ผ่าน",IF(H423&gt;=90,"ผ่าน","ไม่ผ่าน"))</f>
        <v/>
      </c>
      <c r="L423" s="8">
        <f>IF(K423="ผ่าน",1,0)</f>
        <v/>
      </c>
      <c r="N423" s="7" t="n"/>
    </row>
    <row r="424">
      <c r="F424" s="7" t="n"/>
      <c r="G424" s="7" t="n"/>
      <c r="H424" s="8">
        <f>IF(OR(F424="",G424=""),"",MAX(0,ROUND((G424-F424)*1440,0)))</f>
        <v/>
      </c>
      <c r="I424" s="8">
        <f>IF(F424="","ไม่ครบ","ครบ")</f>
        <v/>
      </c>
      <c r="J424" s="8">
        <f>IF(G424="","ไม่ครบ","ครบ")</f>
        <v/>
      </c>
      <c r="K424" s="8">
        <f>IF(OR(F424="",G424=""),"ไม่ผ่าน",IF(H424&gt;=90,"ผ่าน","ไม่ผ่าน"))</f>
        <v/>
      </c>
      <c r="L424" s="8">
        <f>IF(K424="ผ่าน",1,0)</f>
        <v/>
      </c>
      <c r="N424" s="7" t="n"/>
    </row>
    <row r="425">
      <c r="F425" s="7" t="n"/>
      <c r="G425" s="7" t="n"/>
      <c r="H425" s="8">
        <f>IF(OR(F425="",G425=""),"",MAX(0,ROUND((G425-F425)*1440,0)))</f>
        <v/>
      </c>
      <c r="I425" s="8">
        <f>IF(F425="","ไม่ครบ","ครบ")</f>
        <v/>
      </c>
      <c r="J425" s="8">
        <f>IF(G425="","ไม่ครบ","ครบ")</f>
        <v/>
      </c>
      <c r="K425" s="8">
        <f>IF(OR(F425="",G425=""),"ไม่ผ่าน",IF(H425&gt;=90,"ผ่าน","ไม่ผ่าน"))</f>
        <v/>
      </c>
      <c r="L425" s="8">
        <f>IF(K425="ผ่าน",1,0)</f>
        <v/>
      </c>
      <c r="N425" s="7" t="n"/>
    </row>
    <row r="426">
      <c r="F426" s="7" t="n"/>
      <c r="G426" s="7" t="n"/>
      <c r="H426" s="8">
        <f>IF(OR(F426="",G426=""),"",MAX(0,ROUND((G426-F426)*1440,0)))</f>
        <v/>
      </c>
      <c r="I426" s="8">
        <f>IF(F426="","ไม่ครบ","ครบ")</f>
        <v/>
      </c>
      <c r="J426" s="8">
        <f>IF(G426="","ไม่ครบ","ครบ")</f>
        <v/>
      </c>
      <c r="K426" s="8">
        <f>IF(OR(F426="",G426=""),"ไม่ผ่าน",IF(H426&gt;=90,"ผ่าน","ไม่ผ่าน"))</f>
        <v/>
      </c>
      <c r="L426" s="8">
        <f>IF(K426="ผ่าน",1,0)</f>
        <v/>
      </c>
      <c r="N426" s="7" t="n"/>
    </row>
    <row r="427">
      <c r="F427" s="7" t="n"/>
      <c r="G427" s="7" t="n"/>
      <c r="H427" s="8">
        <f>IF(OR(F427="",G427=""),"",MAX(0,ROUND((G427-F427)*1440,0)))</f>
        <v/>
      </c>
      <c r="I427" s="8">
        <f>IF(F427="","ไม่ครบ","ครบ")</f>
        <v/>
      </c>
      <c r="J427" s="8">
        <f>IF(G427="","ไม่ครบ","ครบ")</f>
        <v/>
      </c>
      <c r="K427" s="8">
        <f>IF(OR(F427="",G427=""),"ไม่ผ่าน",IF(H427&gt;=90,"ผ่าน","ไม่ผ่าน"))</f>
        <v/>
      </c>
      <c r="L427" s="8">
        <f>IF(K427="ผ่าน",1,0)</f>
        <v/>
      </c>
      <c r="N427" s="7" t="n"/>
    </row>
    <row r="428">
      <c r="F428" s="7" t="n"/>
      <c r="G428" s="7" t="n"/>
      <c r="H428" s="8">
        <f>IF(OR(F428="",G428=""),"",MAX(0,ROUND((G428-F428)*1440,0)))</f>
        <v/>
      </c>
      <c r="I428" s="8">
        <f>IF(F428="","ไม่ครบ","ครบ")</f>
        <v/>
      </c>
      <c r="J428" s="8">
        <f>IF(G428="","ไม่ครบ","ครบ")</f>
        <v/>
      </c>
      <c r="K428" s="8">
        <f>IF(OR(F428="",G428=""),"ไม่ผ่าน",IF(H428&gt;=90,"ผ่าน","ไม่ผ่าน"))</f>
        <v/>
      </c>
      <c r="L428" s="8">
        <f>IF(K428="ผ่าน",1,0)</f>
        <v/>
      </c>
      <c r="N428" s="7" t="n"/>
    </row>
    <row r="429">
      <c r="F429" s="7" t="n"/>
      <c r="G429" s="7" t="n"/>
      <c r="H429" s="8">
        <f>IF(OR(F429="",G429=""),"",MAX(0,ROUND((G429-F429)*1440,0)))</f>
        <v/>
      </c>
      <c r="I429" s="8">
        <f>IF(F429="","ไม่ครบ","ครบ")</f>
        <v/>
      </c>
      <c r="J429" s="8">
        <f>IF(G429="","ไม่ครบ","ครบ")</f>
        <v/>
      </c>
      <c r="K429" s="8">
        <f>IF(OR(F429="",G429=""),"ไม่ผ่าน",IF(H429&gt;=90,"ผ่าน","ไม่ผ่าน"))</f>
        <v/>
      </c>
      <c r="L429" s="8">
        <f>IF(K429="ผ่าน",1,0)</f>
        <v/>
      </c>
      <c r="N429" s="7" t="n"/>
    </row>
    <row r="430">
      <c r="F430" s="7" t="n"/>
      <c r="G430" s="7" t="n"/>
      <c r="H430" s="8">
        <f>IF(OR(F430="",G430=""),"",MAX(0,ROUND((G430-F430)*1440,0)))</f>
        <v/>
      </c>
      <c r="I430" s="8">
        <f>IF(F430="","ไม่ครบ","ครบ")</f>
        <v/>
      </c>
      <c r="J430" s="8">
        <f>IF(G430="","ไม่ครบ","ครบ")</f>
        <v/>
      </c>
      <c r="K430" s="8">
        <f>IF(OR(F430="",G430=""),"ไม่ผ่าน",IF(H430&gt;=90,"ผ่าน","ไม่ผ่าน"))</f>
        <v/>
      </c>
      <c r="L430" s="8">
        <f>IF(K430="ผ่าน",1,0)</f>
        <v/>
      </c>
      <c r="N430" s="7" t="n"/>
    </row>
    <row r="431">
      <c r="F431" s="7" t="n"/>
      <c r="G431" s="7" t="n"/>
      <c r="H431" s="8">
        <f>IF(OR(F431="",G431=""),"",MAX(0,ROUND((G431-F431)*1440,0)))</f>
        <v/>
      </c>
      <c r="I431" s="8">
        <f>IF(F431="","ไม่ครบ","ครบ")</f>
        <v/>
      </c>
      <c r="J431" s="8">
        <f>IF(G431="","ไม่ครบ","ครบ")</f>
        <v/>
      </c>
      <c r="K431" s="8">
        <f>IF(OR(F431="",G431=""),"ไม่ผ่าน",IF(H431&gt;=90,"ผ่าน","ไม่ผ่าน"))</f>
        <v/>
      </c>
      <c r="L431" s="8">
        <f>IF(K431="ผ่าน",1,0)</f>
        <v/>
      </c>
      <c r="N431" s="7" t="n"/>
    </row>
    <row r="432">
      <c r="F432" s="7" t="n"/>
      <c r="G432" s="7" t="n"/>
      <c r="H432" s="8">
        <f>IF(OR(F432="",G432=""),"",MAX(0,ROUND((G432-F432)*1440,0)))</f>
        <v/>
      </c>
      <c r="I432" s="8">
        <f>IF(F432="","ไม่ครบ","ครบ")</f>
        <v/>
      </c>
      <c r="J432" s="8">
        <f>IF(G432="","ไม่ครบ","ครบ")</f>
        <v/>
      </c>
      <c r="K432" s="8">
        <f>IF(OR(F432="",G432=""),"ไม่ผ่าน",IF(H432&gt;=90,"ผ่าน","ไม่ผ่าน"))</f>
        <v/>
      </c>
      <c r="L432" s="8">
        <f>IF(K432="ผ่าน",1,0)</f>
        <v/>
      </c>
      <c r="N432" s="7" t="n"/>
    </row>
    <row r="433">
      <c r="F433" s="7" t="n"/>
      <c r="G433" s="7" t="n"/>
      <c r="H433" s="8">
        <f>IF(OR(F433="",G433=""),"",MAX(0,ROUND((G433-F433)*1440,0)))</f>
        <v/>
      </c>
      <c r="I433" s="8">
        <f>IF(F433="","ไม่ครบ","ครบ")</f>
        <v/>
      </c>
      <c r="J433" s="8">
        <f>IF(G433="","ไม่ครบ","ครบ")</f>
        <v/>
      </c>
      <c r="K433" s="8">
        <f>IF(OR(F433="",G433=""),"ไม่ผ่าน",IF(H433&gt;=90,"ผ่าน","ไม่ผ่าน"))</f>
        <v/>
      </c>
      <c r="L433" s="8">
        <f>IF(K433="ผ่าน",1,0)</f>
        <v/>
      </c>
      <c r="N433" s="7" t="n"/>
    </row>
    <row r="434">
      <c r="F434" s="7" t="n"/>
      <c r="G434" s="7" t="n"/>
      <c r="H434" s="8">
        <f>IF(OR(F434="",G434=""),"",MAX(0,ROUND((G434-F434)*1440,0)))</f>
        <v/>
      </c>
      <c r="I434" s="8">
        <f>IF(F434="","ไม่ครบ","ครบ")</f>
        <v/>
      </c>
      <c r="J434" s="8">
        <f>IF(G434="","ไม่ครบ","ครบ")</f>
        <v/>
      </c>
      <c r="K434" s="8">
        <f>IF(OR(F434="",G434=""),"ไม่ผ่าน",IF(H434&gt;=90,"ผ่าน","ไม่ผ่าน"))</f>
        <v/>
      </c>
      <c r="L434" s="8">
        <f>IF(K434="ผ่าน",1,0)</f>
        <v/>
      </c>
      <c r="N434" s="7" t="n"/>
    </row>
    <row r="435">
      <c r="F435" s="7" t="n"/>
      <c r="G435" s="7" t="n"/>
      <c r="H435" s="8">
        <f>IF(OR(F435="",G435=""),"",MAX(0,ROUND((G435-F435)*1440,0)))</f>
        <v/>
      </c>
      <c r="I435" s="8">
        <f>IF(F435="","ไม่ครบ","ครบ")</f>
        <v/>
      </c>
      <c r="J435" s="8">
        <f>IF(G435="","ไม่ครบ","ครบ")</f>
        <v/>
      </c>
      <c r="K435" s="8">
        <f>IF(OR(F435="",G435=""),"ไม่ผ่าน",IF(H435&gt;=90,"ผ่าน","ไม่ผ่าน"))</f>
        <v/>
      </c>
      <c r="L435" s="8">
        <f>IF(K435="ผ่าน",1,0)</f>
        <v/>
      </c>
      <c r="N435" s="7" t="n"/>
    </row>
    <row r="436">
      <c r="F436" s="7" t="n"/>
      <c r="G436" s="7" t="n"/>
      <c r="H436" s="8">
        <f>IF(OR(F436="",G436=""),"",MAX(0,ROUND((G436-F436)*1440,0)))</f>
        <v/>
      </c>
      <c r="I436" s="8">
        <f>IF(F436="","ไม่ครบ","ครบ")</f>
        <v/>
      </c>
      <c r="J436" s="8">
        <f>IF(G436="","ไม่ครบ","ครบ")</f>
        <v/>
      </c>
      <c r="K436" s="8">
        <f>IF(OR(F436="",G436=""),"ไม่ผ่าน",IF(H436&gt;=90,"ผ่าน","ไม่ผ่าน"))</f>
        <v/>
      </c>
      <c r="L436" s="8">
        <f>IF(K436="ผ่าน",1,0)</f>
        <v/>
      </c>
      <c r="N436" s="7" t="n"/>
    </row>
    <row r="437">
      <c r="F437" s="7" t="n"/>
      <c r="G437" s="7" t="n"/>
      <c r="H437" s="8">
        <f>IF(OR(F437="",G437=""),"",MAX(0,ROUND((G437-F437)*1440,0)))</f>
        <v/>
      </c>
      <c r="I437" s="8">
        <f>IF(F437="","ไม่ครบ","ครบ")</f>
        <v/>
      </c>
      <c r="J437" s="8">
        <f>IF(G437="","ไม่ครบ","ครบ")</f>
        <v/>
      </c>
      <c r="K437" s="8">
        <f>IF(OR(F437="",G437=""),"ไม่ผ่าน",IF(H437&gt;=90,"ผ่าน","ไม่ผ่าน"))</f>
        <v/>
      </c>
      <c r="L437" s="8">
        <f>IF(K437="ผ่าน",1,0)</f>
        <v/>
      </c>
      <c r="N437" s="7" t="n"/>
    </row>
    <row r="438">
      <c r="F438" s="7" t="n"/>
      <c r="G438" s="7" t="n"/>
      <c r="H438" s="8">
        <f>IF(OR(F438="",G438=""),"",MAX(0,ROUND((G438-F438)*1440,0)))</f>
        <v/>
      </c>
      <c r="I438" s="8">
        <f>IF(F438="","ไม่ครบ","ครบ")</f>
        <v/>
      </c>
      <c r="J438" s="8">
        <f>IF(G438="","ไม่ครบ","ครบ")</f>
        <v/>
      </c>
      <c r="K438" s="8">
        <f>IF(OR(F438="",G438=""),"ไม่ผ่าน",IF(H438&gt;=90,"ผ่าน","ไม่ผ่าน"))</f>
        <v/>
      </c>
      <c r="L438" s="8">
        <f>IF(K438="ผ่าน",1,0)</f>
        <v/>
      </c>
      <c r="N438" s="7" t="n"/>
    </row>
    <row r="439">
      <c r="F439" s="7" t="n"/>
      <c r="G439" s="7" t="n"/>
      <c r="H439" s="8">
        <f>IF(OR(F439="",G439=""),"",MAX(0,ROUND((G439-F439)*1440,0)))</f>
        <v/>
      </c>
      <c r="I439" s="8">
        <f>IF(F439="","ไม่ครบ","ครบ")</f>
        <v/>
      </c>
      <c r="J439" s="8">
        <f>IF(G439="","ไม่ครบ","ครบ")</f>
        <v/>
      </c>
      <c r="K439" s="8">
        <f>IF(OR(F439="",G439=""),"ไม่ผ่าน",IF(H439&gt;=90,"ผ่าน","ไม่ผ่าน"))</f>
        <v/>
      </c>
      <c r="L439" s="8">
        <f>IF(K439="ผ่าน",1,0)</f>
        <v/>
      </c>
      <c r="N439" s="7" t="n"/>
    </row>
    <row r="440">
      <c r="F440" s="7" t="n"/>
      <c r="G440" s="7" t="n"/>
      <c r="H440" s="8">
        <f>IF(OR(F440="",G440=""),"",MAX(0,ROUND((G440-F440)*1440,0)))</f>
        <v/>
      </c>
      <c r="I440" s="8">
        <f>IF(F440="","ไม่ครบ","ครบ")</f>
        <v/>
      </c>
      <c r="J440" s="8">
        <f>IF(G440="","ไม่ครบ","ครบ")</f>
        <v/>
      </c>
      <c r="K440" s="8">
        <f>IF(OR(F440="",G440=""),"ไม่ผ่าน",IF(H440&gt;=90,"ผ่าน","ไม่ผ่าน"))</f>
        <v/>
      </c>
      <c r="L440" s="8">
        <f>IF(K440="ผ่าน",1,0)</f>
        <v/>
      </c>
      <c r="N440" s="7" t="n"/>
    </row>
    <row r="441">
      <c r="F441" s="7" t="n"/>
      <c r="G441" s="7" t="n"/>
      <c r="H441" s="8">
        <f>IF(OR(F441="",G441=""),"",MAX(0,ROUND((G441-F441)*1440,0)))</f>
        <v/>
      </c>
      <c r="I441" s="8">
        <f>IF(F441="","ไม่ครบ","ครบ")</f>
        <v/>
      </c>
      <c r="J441" s="8">
        <f>IF(G441="","ไม่ครบ","ครบ")</f>
        <v/>
      </c>
      <c r="K441" s="8">
        <f>IF(OR(F441="",G441=""),"ไม่ผ่าน",IF(H441&gt;=90,"ผ่าน","ไม่ผ่าน"))</f>
        <v/>
      </c>
      <c r="L441" s="8">
        <f>IF(K441="ผ่าน",1,0)</f>
        <v/>
      </c>
      <c r="N441" s="7" t="n"/>
    </row>
    <row r="442">
      <c r="F442" s="7" t="n"/>
      <c r="G442" s="7" t="n"/>
      <c r="H442" s="8">
        <f>IF(OR(F442="",G442=""),"",MAX(0,ROUND((G442-F442)*1440,0)))</f>
        <v/>
      </c>
      <c r="I442" s="8">
        <f>IF(F442="","ไม่ครบ","ครบ")</f>
        <v/>
      </c>
      <c r="J442" s="8">
        <f>IF(G442="","ไม่ครบ","ครบ")</f>
        <v/>
      </c>
      <c r="K442" s="8">
        <f>IF(OR(F442="",G442=""),"ไม่ผ่าน",IF(H442&gt;=90,"ผ่าน","ไม่ผ่าน"))</f>
        <v/>
      </c>
      <c r="L442" s="8">
        <f>IF(K442="ผ่าน",1,0)</f>
        <v/>
      </c>
      <c r="N442" s="7" t="n"/>
    </row>
    <row r="443">
      <c r="F443" s="7" t="n"/>
      <c r="G443" s="7" t="n"/>
      <c r="H443" s="8">
        <f>IF(OR(F443="",G443=""),"",MAX(0,ROUND((G443-F443)*1440,0)))</f>
        <v/>
      </c>
      <c r="I443" s="8">
        <f>IF(F443="","ไม่ครบ","ครบ")</f>
        <v/>
      </c>
      <c r="J443" s="8">
        <f>IF(G443="","ไม่ครบ","ครบ")</f>
        <v/>
      </c>
      <c r="K443" s="8">
        <f>IF(OR(F443="",G443=""),"ไม่ผ่าน",IF(H443&gt;=90,"ผ่าน","ไม่ผ่าน"))</f>
        <v/>
      </c>
      <c r="L443" s="8">
        <f>IF(K443="ผ่าน",1,0)</f>
        <v/>
      </c>
      <c r="N443" s="7" t="n"/>
    </row>
    <row r="444">
      <c r="F444" s="7" t="n"/>
      <c r="G444" s="7" t="n"/>
      <c r="H444" s="8">
        <f>IF(OR(F444="",G444=""),"",MAX(0,ROUND((G444-F444)*1440,0)))</f>
        <v/>
      </c>
      <c r="I444" s="8">
        <f>IF(F444="","ไม่ครบ","ครบ")</f>
        <v/>
      </c>
      <c r="J444" s="8">
        <f>IF(G444="","ไม่ครบ","ครบ")</f>
        <v/>
      </c>
      <c r="K444" s="8">
        <f>IF(OR(F444="",G444=""),"ไม่ผ่าน",IF(H444&gt;=90,"ผ่าน","ไม่ผ่าน"))</f>
        <v/>
      </c>
      <c r="L444" s="8">
        <f>IF(K444="ผ่าน",1,0)</f>
        <v/>
      </c>
      <c r="N444" s="7" t="n"/>
    </row>
    <row r="445">
      <c r="F445" s="7" t="n"/>
      <c r="G445" s="7" t="n"/>
      <c r="H445" s="8">
        <f>IF(OR(F445="",G445=""),"",MAX(0,ROUND((G445-F445)*1440,0)))</f>
        <v/>
      </c>
      <c r="I445" s="8">
        <f>IF(F445="","ไม่ครบ","ครบ")</f>
        <v/>
      </c>
      <c r="J445" s="8">
        <f>IF(G445="","ไม่ครบ","ครบ")</f>
        <v/>
      </c>
      <c r="K445" s="8">
        <f>IF(OR(F445="",G445=""),"ไม่ผ่าน",IF(H445&gt;=90,"ผ่าน","ไม่ผ่าน"))</f>
        <v/>
      </c>
      <c r="L445" s="8">
        <f>IF(K445="ผ่าน",1,0)</f>
        <v/>
      </c>
      <c r="N445" s="7" t="n"/>
    </row>
    <row r="446">
      <c r="F446" s="7" t="n"/>
      <c r="G446" s="7" t="n"/>
      <c r="H446" s="8">
        <f>IF(OR(F446="",G446=""),"",MAX(0,ROUND((G446-F446)*1440,0)))</f>
        <v/>
      </c>
      <c r="I446" s="8">
        <f>IF(F446="","ไม่ครบ","ครบ")</f>
        <v/>
      </c>
      <c r="J446" s="8">
        <f>IF(G446="","ไม่ครบ","ครบ")</f>
        <v/>
      </c>
      <c r="K446" s="8">
        <f>IF(OR(F446="",G446=""),"ไม่ผ่าน",IF(H446&gt;=90,"ผ่าน","ไม่ผ่าน"))</f>
        <v/>
      </c>
      <c r="L446" s="8">
        <f>IF(K446="ผ่าน",1,0)</f>
        <v/>
      </c>
      <c r="N446" s="7" t="n"/>
    </row>
    <row r="447">
      <c r="F447" s="7" t="n"/>
      <c r="G447" s="7" t="n"/>
      <c r="H447" s="8">
        <f>IF(OR(F447="",G447=""),"",MAX(0,ROUND((G447-F447)*1440,0)))</f>
        <v/>
      </c>
      <c r="I447" s="8">
        <f>IF(F447="","ไม่ครบ","ครบ")</f>
        <v/>
      </c>
      <c r="J447" s="8">
        <f>IF(G447="","ไม่ครบ","ครบ")</f>
        <v/>
      </c>
      <c r="K447" s="8">
        <f>IF(OR(F447="",G447=""),"ไม่ผ่าน",IF(H447&gt;=90,"ผ่าน","ไม่ผ่าน"))</f>
        <v/>
      </c>
      <c r="L447" s="8">
        <f>IF(K447="ผ่าน",1,0)</f>
        <v/>
      </c>
      <c r="N447" s="7" t="n"/>
    </row>
    <row r="448">
      <c r="F448" s="7" t="n"/>
      <c r="G448" s="7" t="n"/>
      <c r="H448" s="8">
        <f>IF(OR(F448="",G448=""),"",MAX(0,ROUND((G448-F448)*1440,0)))</f>
        <v/>
      </c>
      <c r="I448" s="8">
        <f>IF(F448="","ไม่ครบ","ครบ")</f>
        <v/>
      </c>
      <c r="J448" s="8">
        <f>IF(G448="","ไม่ครบ","ครบ")</f>
        <v/>
      </c>
      <c r="K448" s="8">
        <f>IF(OR(F448="",G448=""),"ไม่ผ่าน",IF(H448&gt;=90,"ผ่าน","ไม่ผ่าน"))</f>
        <v/>
      </c>
      <c r="L448" s="8">
        <f>IF(K448="ผ่าน",1,0)</f>
        <v/>
      </c>
      <c r="N448" s="7" t="n"/>
    </row>
    <row r="449">
      <c r="F449" s="7" t="n"/>
      <c r="G449" s="7" t="n"/>
      <c r="H449" s="8">
        <f>IF(OR(F449="",G449=""),"",MAX(0,ROUND((G449-F449)*1440,0)))</f>
        <v/>
      </c>
      <c r="I449" s="8">
        <f>IF(F449="","ไม่ครบ","ครบ")</f>
        <v/>
      </c>
      <c r="J449" s="8">
        <f>IF(G449="","ไม่ครบ","ครบ")</f>
        <v/>
      </c>
      <c r="K449" s="8">
        <f>IF(OR(F449="",G449=""),"ไม่ผ่าน",IF(H449&gt;=90,"ผ่าน","ไม่ผ่าน"))</f>
        <v/>
      </c>
      <c r="L449" s="8">
        <f>IF(K449="ผ่าน",1,0)</f>
        <v/>
      </c>
      <c r="N449" s="7" t="n"/>
    </row>
    <row r="450">
      <c r="F450" s="7" t="n"/>
      <c r="G450" s="7" t="n"/>
      <c r="H450" s="8">
        <f>IF(OR(F450="",G450=""),"",MAX(0,ROUND((G450-F450)*1440,0)))</f>
        <v/>
      </c>
      <c r="I450" s="8">
        <f>IF(F450="","ไม่ครบ","ครบ")</f>
        <v/>
      </c>
      <c r="J450" s="8">
        <f>IF(G450="","ไม่ครบ","ครบ")</f>
        <v/>
      </c>
      <c r="K450" s="8">
        <f>IF(OR(F450="",G450=""),"ไม่ผ่าน",IF(H450&gt;=90,"ผ่าน","ไม่ผ่าน"))</f>
        <v/>
      </c>
      <c r="L450" s="8">
        <f>IF(K450="ผ่าน",1,0)</f>
        <v/>
      </c>
      <c r="N450" s="7" t="n"/>
    </row>
    <row r="451">
      <c r="F451" s="7" t="n"/>
      <c r="G451" s="7" t="n"/>
      <c r="H451" s="8">
        <f>IF(OR(F451="",G451=""),"",MAX(0,ROUND((G451-F451)*1440,0)))</f>
        <v/>
      </c>
      <c r="I451" s="8">
        <f>IF(F451="","ไม่ครบ","ครบ")</f>
        <v/>
      </c>
      <c r="J451" s="8">
        <f>IF(G451="","ไม่ครบ","ครบ")</f>
        <v/>
      </c>
      <c r="K451" s="8">
        <f>IF(OR(F451="",G451=""),"ไม่ผ่าน",IF(H451&gt;=90,"ผ่าน","ไม่ผ่าน"))</f>
        <v/>
      </c>
      <c r="L451" s="8">
        <f>IF(K451="ผ่าน",1,0)</f>
        <v/>
      </c>
      <c r="N451" s="7" t="n"/>
    </row>
    <row r="452">
      <c r="F452" s="7" t="n"/>
      <c r="G452" s="7" t="n"/>
      <c r="H452" s="8">
        <f>IF(OR(F452="",G452=""),"",MAX(0,ROUND((G452-F452)*1440,0)))</f>
        <v/>
      </c>
      <c r="I452" s="8">
        <f>IF(F452="","ไม่ครบ","ครบ")</f>
        <v/>
      </c>
      <c r="J452" s="8">
        <f>IF(G452="","ไม่ครบ","ครบ")</f>
        <v/>
      </c>
      <c r="K452" s="8">
        <f>IF(OR(F452="",G452=""),"ไม่ผ่าน",IF(H452&gt;=90,"ผ่าน","ไม่ผ่าน"))</f>
        <v/>
      </c>
      <c r="L452" s="8">
        <f>IF(K452="ผ่าน",1,0)</f>
        <v/>
      </c>
      <c r="N452" s="7" t="n"/>
    </row>
    <row r="453">
      <c r="F453" s="7" t="n"/>
      <c r="G453" s="7" t="n"/>
      <c r="H453" s="8">
        <f>IF(OR(F453="",G453=""),"",MAX(0,ROUND((G453-F453)*1440,0)))</f>
        <v/>
      </c>
      <c r="I453" s="8">
        <f>IF(F453="","ไม่ครบ","ครบ")</f>
        <v/>
      </c>
      <c r="J453" s="8">
        <f>IF(G453="","ไม่ครบ","ครบ")</f>
        <v/>
      </c>
      <c r="K453" s="8">
        <f>IF(OR(F453="",G453=""),"ไม่ผ่าน",IF(H453&gt;=90,"ผ่าน","ไม่ผ่าน"))</f>
        <v/>
      </c>
      <c r="L453" s="8">
        <f>IF(K453="ผ่าน",1,0)</f>
        <v/>
      </c>
      <c r="N453" s="7" t="n"/>
    </row>
    <row r="454">
      <c r="F454" s="7" t="n"/>
      <c r="G454" s="7" t="n"/>
      <c r="H454" s="8">
        <f>IF(OR(F454="",G454=""),"",MAX(0,ROUND((G454-F454)*1440,0)))</f>
        <v/>
      </c>
      <c r="I454" s="8">
        <f>IF(F454="","ไม่ครบ","ครบ")</f>
        <v/>
      </c>
      <c r="J454" s="8">
        <f>IF(G454="","ไม่ครบ","ครบ")</f>
        <v/>
      </c>
      <c r="K454" s="8">
        <f>IF(OR(F454="",G454=""),"ไม่ผ่าน",IF(H454&gt;=90,"ผ่าน","ไม่ผ่าน"))</f>
        <v/>
      </c>
      <c r="L454" s="8">
        <f>IF(K454="ผ่าน",1,0)</f>
        <v/>
      </c>
      <c r="N454" s="7" t="n"/>
    </row>
    <row r="455">
      <c r="F455" s="7" t="n"/>
      <c r="G455" s="7" t="n"/>
      <c r="H455" s="8">
        <f>IF(OR(F455="",G455=""),"",MAX(0,ROUND((G455-F455)*1440,0)))</f>
        <v/>
      </c>
      <c r="I455" s="8">
        <f>IF(F455="","ไม่ครบ","ครบ")</f>
        <v/>
      </c>
      <c r="J455" s="8">
        <f>IF(G455="","ไม่ครบ","ครบ")</f>
        <v/>
      </c>
      <c r="K455" s="8">
        <f>IF(OR(F455="",G455=""),"ไม่ผ่าน",IF(H455&gt;=90,"ผ่าน","ไม่ผ่าน"))</f>
        <v/>
      </c>
      <c r="L455" s="8">
        <f>IF(K455="ผ่าน",1,0)</f>
        <v/>
      </c>
      <c r="N455" s="7" t="n"/>
    </row>
    <row r="456">
      <c r="F456" s="7" t="n"/>
      <c r="G456" s="7" t="n"/>
      <c r="H456" s="8">
        <f>IF(OR(F456="",G456=""),"",MAX(0,ROUND((G456-F456)*1440,0)))</f>
        <v/>
      </c>
      <c r="I456" s="8">
        <f>IF(F456="","ไม่ครบ","ครบ")</f>
        <v/>
      </c>
      <c r="J456" s="8">
        <f>IF(G456="","ไม่ครบ","ครบ")</f>
        <v/>
      </c>
      <c r="K456" s="8">
        <f>IF(OR(F456="",G456=""),"ไม่ผ่าน",IF(H456&gt;=90,"ผ่าน","ไม่ผ่าน"))</f>
        <v/>
      </c>
      <c r="L456" s="8">
        <f>IF(K456="ผ่าน",1,0)</f>
        <v/>
      </c>
      <c r="N456" s="7" t="n"/>
    </row>
    <row r="457">
      <c r="F457" s="7" t="n"/>
      <c r="G457" s="7" t="n"/>
      <c r="H457" s="8">
        <f>IF(OR(F457="",G457=""),"",MAX(0,ROUND((G457-F457)*1440,0)))</f>
        <v/>
      </c>
      <c r="I457" s="8">
        <f>IF(F457="","ไม่ครบ","ครบ")</f>
        <v/>
      </c>
      <c r="J457" s="8">
        <f>IF(G457="","ไม่ครบ","ครบ")</f>
        <v/>
      </c>
      <c r="K457" s="8">
        <f>IF(OR(F457="",G457=""),"ไม่ผ่าน",IF(H457&gt;=90,"ผ่าน","ไม่ผ่าน"))</f>
        <v/>
      </c>
      <c r="L457" s="8">
        <f>IF(K457="ผ่าน",1,0)</f>
        <v/>
      </c>
      <c r="N457" s="7" t="n"/>
    </row>
    <row r="458">
      <c r="F458" s="7" t="n"/>
      <c r="G458" s="7" t="n"/>
      <c r="H458" s="8">
        <f>IF(OR(F458="",G458=""),"",MAX(0,ROUND((G458-F458)*1440,0)))</f>
        <v/>
      </c>
      <c r="I458" s="8">
        <f>IF(F458="","ไม่ครบ","ครบ")</f>
        <v/>
      </c>
      <c r="J458" s="8">
        <f>IF(G458="","ไม่ครบ","ครบ")</f>
        <v/>
      </c>
      <c r="K458" s="8">
        <f>IF(OR(F458="",G458=""),"ไม่ผ่าน",IF(H458&gt;=90,"ผ่าน","ไม่ผ่าน"))</f>
        <v/>
      </c>
      <c r="L458" s="8">
        <f>IF(K458="ผ่าน",1,0)</f>
        <v/>
      </c>
      <c r="N458" s="7" t="n"/>
    </row>
    <row r="459">
      <c r="F459" s="7" t="n"/>
      <c r="G459" s="7" t="n"/>
      <c r="H459" s="8">
        <f>IF(OR(F459="",G459=""),"",MAX(0,ROUND((G459-F459)*1440,0)))</f>
        <v/>
      </c>
      <c r="I459" s="8">
        <f>IF(F459="","ไม่ครบ","ครบ")</f>
        <v/>
      </c>
      <c r="J459" s="8">
        <f>IF(G459="","ไม่ครบ","ครบ")</f>
        <v/>
      </c>
      <c r="K459" s="8">
        <f>IF(OR(F459="",G459=""),"ไม่ผ่าน",IF(H459&gt;=90,"ผ่าน","ไม่ผ่าน"))</f>
        <v/>
      </c>
      <c r="L459" s="8">
        <f>IF(K459="ผ่าน",1,0)</f>
        <v/>
      </c>
      <c r="N459" s="7" t="n"/>
    </row>
    <row r="460">
      <c r="F460" s="7" t="n"/>
      <c r="G460" s="7" t="n"/>
      <c r="H460" s="8">
        <f>IF(OR(F460="",G460=""),"",MAX(0,ROUND((G460-F460)*1440,0)))</f>
        <v/>
      </c>
      <c r="I460" s="8">
        <f>IF(F460="","ไม่ครบ","ครบ")</f>
        <v/>
      </c>
      <c r="J460" s="8">
        <f>IF(G460="","ไม่ครบ","ครบ")</f>
        <v/>
      </c>
      <c r="K460" s="8">
        <f>IF(OR(F460="",G460=""),"ไม่ผ่าน",IF(H460&gt;=90,"ผ่าน","ไม่ผ่าน"))</f>
        <v/>
      </c>
      <c r="L460" s="8">
        <f>IF(K460="ผ่าน",1,0)</f>
        <v/>
      </c>
      <c r="N460" s="7" t="n"/>
    </row>
    <row r="461">
      <c r="F461" s="7" t="n"/>
      <c r="G461" s="7" t="n"/>
      <c r="H461" s="8">
        <f>IF(OR(F461="",G461=""),"",MAX(0,ROUND((G461-F461)*1440,0)))</f>
        <v/>
      </c>
      <c r="I461" s="8">
        <f>IF(F461="","ไม่ครบ","ครบ")</f>
        <v/>
      </c>
      <c r="J461" s="8">
        <f>IF(G461="","ไม่ครบ","ครบ")</f>
        <v/>
      </c>
      <c r="K461" s="8">
        <f>IF(OR(F461="",G461=""),"ไม่ผ่าน",IF(H461&gt;=90,"ผ่าน","ไม่ผ่าน"))</f>
        <v/>
      </c>
      <c r="L461" s="8">
        <f>IF(K461="ผ่าน",1,0)</f>
        <v/>
      </c>
      <c r="N461" s="7" t="n"/>
    </row>
    <row r="462">
      <c r="F462" s="7" t="n"/>
      <c r="G462" s="7" t="n"/>
      <c r="H462" s="8">
        <f>IF(OR(F462="",G462=""),"",MAX(0,ROUND((G462-F462)*1440,0)))</f>
        <v/>
      </c>
      <c r="I462" s="8">
        <f>IF(F462="","ไม่ครบ","ครบ")</f>
        <v/>
      </c>
      <c r="J462" s="8">
        <f>IF(G462="","ไม่ครบ","ครบ")</f>
        <v/>
      </c>
      <c r="K462" s="8">
        <f>IF(OR(F462="",G462=""),"ไม่ผ่าน",IF(H462&gt;=90,"ผ่าน","ไม่ผ่าน"))</f>
        <v/>
      </c>
      <c r="L462" s="8">
        <f>IF(K462="ผ่าน",1,0)</f>
        <v/>
      </c>
      <c r="N462" s="7" t="n"/>
    </row>
    <row r="463">
      <c r="F463" s="7" t="n"/>
      <c r="G463" s="7" t="n"/>
      <c r="H463" s="8">
        <f>IF(OR(F463="",G463=""),"",MAX(0,ROUND((G463-F463)*1440,0)))</f>
        <v/>
      </c>
      <c r="I463" s="8">
        <f>IF(F463="","ไม่ครบ","ครบ")</f>
        <v/>
      </c>
      <c r="J463" s="8">
        <f>IF(G463="","ไม่ครบ","ครบ")</f>
        <v/>
      </c>
      <c r="K463" s="8">
        <f>IF(OR(F463="",G463=""),"ไม่ผ่าน",IF(H463&gt;=90,"ผ่าน","ไม่ผ่าน"))</f>
        <v/>
      </c>
      <c r="L463" s="8">
        <f>IF(K463="ผ่าน",1,0)</f>
        <v/>
      </c>
      <c r="N463" s="7" t="n"/>
    </row>
    <row r="464">
      <c r="F464" s="7" t="n"/>
      <c r="G464" s="7" t="n"/>
      <c r="H464" s="8">
        <f>IF(OR(F464="",G464=""),"",MAX(0,ROUND((G464-F464)*1440,0)))</f>
        <v/>
      </c>
      <c r="I464" s="8">
        <f>IF(F464="","ไม่ครบ","ครบ")</f>
        <v/>
      </c>
      <c r="J464" s="8">
        <f>IF(G464="","ไม่ครบ","ครบ")</f>
        <v/>
      </c>
      <c r="K464" s="8">
        <f>IF(OR(F464="",G464=""),"ไม่ผ่าน",IF(H464&gt;=90,"ผ่าน","ไม่ผ่าน"))</f>
        <v/>
      </c>
      <c r="L464" s="8">
        <f>IF(K464="ผ่าน",1,0)</f>
        <v/>
      </c>
      <c r="N464" s="7" t="n"/>
    </row>
    <row r="465">
      <c r="F465" s="7" t="n"/>
      <c r="G465" s="7" t="n"/>
      <c r="H465" s="8">
        <f>IF(OR(F465="",G465=""),"",MAX(0,ROUND((G465-F465)*1440,0)))</f>
        <v/>
      </c>
      <c r="I465" s="8">
        <f>IF(F465="","ไม่ครบ","ครบ")</f>
        <v/>
      </c>
      <c r="J465" s="8">
        <f>IF(G465="","ไม่ครบ","ครบ")</f>
        <v/>
      </c>
      <c r="K465" s="8">
        <f>IF(OR(F465="",G465=""),"ไม่ผ่าน",IF(H465&gt;=90,"ผ่าน","ไม่ผ่าน"))</f>
        <v/>
      </c>
      <c r="L465" s="8">
        <f>IF(K465="ผ่าน",1,0)</f>
        <v/>
      </c>
      <c r="N465" s="7" t="n"/>
    </row>
    <row r="466">
      <c r="F466" s="7" t="n"/>
      <c r="G466" s="7" t="n"/>
      <c r="H466" s="8">
        <f>IF(OR(F466="",G466=""),"",MAX(0,ROUND((G466-F466)*1440,0)))</f>
        <v/>
      </c>
      <c r="I466" s="8">
        <f>IF(F466="","ไม่ครบ","ครบ")</f>
        <v/>
      </c>
      <c r="J466" s="8">
        <f>IF(G466="","ไม่ครบ","ครบ")</f>
        <v/>
      </c>
      <c r="K466" s="8">
        <f>IF(OR(F466="",G466=""),"ไม่ผ่าน",IF(H466&gt;=90,"ผ่าน","ไม่ผ่าน"))</f>
        <v/>
      </c>
      <c r="L466" s="8">
        <f>IF(K466="ผ่าน",1,0)</f>
        <v/>
      </c>
      <c r="N466" s="7" t="n"/>
    </row>
    <row r="467">
      <c r="F467" s="7" t="n"/>
      <c r="G467" s="7" t="n"/>
      <c r="H467" s="8">
        <f>IF(OR(F467="",G467=""),"",MAX(0,ROUND((G467-F467)*1440,0)))</f>
        <v/>
      </c>
      <c r="I467" s="8">
        <f>IF(F467="","ไม่ครบ","ครบ")</f>
        <v/>
      </c>
      <c r="J467" s="8">
        <f>IF(G467="","ไม่ครบ","ครบ")</f>
        <v/>
      </c>
      <c r="K467" s="8">
        <f>IF(OR(F467="",G467=""),"ไม่ผ่าน",IF(H467&gt;=90,"ผ่าน","ไม่ผ่าน"))</f>
        <v/>
      </c>
      <c r="L467" s="8">
        <f>IF(K467="ผ่าน",1,0)</f>
        <v/>
      </c>
      <c r="N467" s="7" t="n"/>
    </row>
    <row r="468">
      <c r="F468" s="7" t="n"/>
      <c r="G468" s="7" t="n"/>
      <c r="H468" s="8">
        <f>IF(OR(F468="",G468=""),"",MAX(0,ROUND((G468-F468)*1440,0)))</f>
        <v/>
      </c>
      <c r="I468" s="8">
        <f>IF(F468="","ไม่ครบ","ครบ")</f>
        <v/>
      </c>
      <c r="J468" s="8">
        <f>IF(G468="","ไม่ครบ","ครบ")</f>
        <v/>
      </c>
      <c r="K468" s="8">
        <f>IF(OR(F468="",G468=""),"ไม่ผ่าน",IF(H468&gt;=90,"ผ่าน","ไม่ผ่าน"))</f>
        <v/>
      </c>
      <c r="L468" s="8">
        <f>IF(K468="ผ่าน",1,0)</f>
        <v/>
      </c>
      <c r="N468" s="7" t="n"/>
    </row>
    <row r="469">
      <c r="F469" s="7" t="n"/>
      <c r="G469" s="7" t="n"/>
      <c r="H469" s="8">
        <f>IF(OR(F469="",G469=""),"",MAX(0,ROUND((G469-F469)*1440,0)))</f>
        <v/>
      </c>
      <c r="I469" s="8">
        <f>IF(F469="","ไม่ครบ","ครบ")</f>
        <v/>
      </c>
      <c r="J469" s="8">
        <f>IF(G469="","ไม่ครบ","ครบ")</f>
        <v/>
      </c>
      <c r="K469" s="8">
        <f>IF(OR(F469="",G469=""),"ไม่ผ่าน",IF(H469&gt;=90,"ผ่าน","ไม่ผ่าน"))</f>
        <v/>
      </c>
      <c r="L469" s="8">
        <f>IF(K469="ผ่าน",1,0)</f>
        <v/>
      </c>
      <c r="N469" s="7" t="n"/>
    </row>
    <row r="470">
      <c r="F470" s="7" t="n"/>
      <c r="G470" s="7" t="n"/>
      <c r="H470" s="8">
        <f>IF(OR(F470="",G470=""),"",MAX(0,ROUND((G470-F470)*1440,0)))</f>
        <v/>
      </c>
      <c r="I470" s="8">
        <f>IF(F470="","ไม่ครบ","ครบ")</f>
        <v/>
      </c>
      <c r="J470" s="8">
        <f>IF(G470="","ไม่ครบ","ครบ")</f>
        <v/>
      </c>
      <c r="K470" s="8">
        <f>IF(OR(F470="",G470=""),"ไม่ผ่าน",IF(H470&gt;=90,"ผ่าน","ไม่ผ่าน"))</f>
        <v/>
      </c>
      <c r="L470" s="8">
        <f>IF(K470="ผ่าน",1,0)</f>
        <v/>
      </c>
      <c r="N470" s="7" t="n"/>
    </row>
    <row r="471">
      <c r="F471" s="7" t="n"/>
      <c r="G471" s="7" t="n"/>
      <c r="H471" s="8">
        <f>IF(OR(F471="",G471=""),"",MAX(0,ROUND((G471-F471)*1440,0)))</f>
        <v/>
      </c>
      <c r="I471" s="8">
        <f>IF(F471="","ไม่ครบ","ครบ")</f>
        <v/>
      </c>
      <c r="J471" s="8">
        <f>IF(G471="","ไม่ครบ","ครบ")</f>
        <v/>
      </c>
      <c r="K471" s="8">
        <f>IF(OR(F471="",G471=""),"ไม่ผ่าน",IF(H471&gt;=90,"ผ่าน","ไม่ผ่าน"))</f>
        <v/>
      </c>
      <c r="L471" s="8">
        <f>IF(K471="ผ่าน",1,0)</f>
        <v/>
      </c>
      <c r="N471" s="7" t="n"/>
    </row>
    <row r="472">
      <c r="F472" s="7" t="n"/>
      <c r="G472" s="7" t="n"/>
      <c r="H472" s="8">
        <f>IF(OR(F472="",G472=""),"",MAX(0,ROUND((G472-F472)*1440,0)))</f>
        <v/>
      </c>
      <c r="I472" s="8">
        <f>IF(F472="","ไม่ครบ","ครบ")</f>
        <v/>
      </c>
      <c r="J472" s="8">
        <f>IF(G472="","ไม่ครบ","ครบ")</f>
        <v/>
      </c>
      <c r="K472" s="8">
        <f>IF(OR(F472="",G472=""),"ไม่ผ่าน",IF(H472&gt;=90,"ผ่าน","ไม่ผ่าน"))</f>
        <v/>
      </c>
      <c r="L472" s="8">
        <f>IF(K472="ผ่าน",1,0)</f>
        <v/>
      </c>
      <c r="N472" s="7" t="n"/>
    </row>
    <row r="473">
      <c r="F473" s="7" t="n"/>
      <c r="G473" s="7" t="n"/>
      <c r="H473" s="8">
        <f>IF(OR(F473="",G473=""),"",MAX(0,ROUND((G473-F473)*1440,0)))</f>
        <v/>
      </c>
      <c r="I473" s="8">
        <f>IF(F473="","ไม่ครบ","ครบ")</f>
        <v/>
      </c>
      <c r="J473" s="8">
        <f>IF(G473="","ไม่ครบ","ครบ")</f>
        <v/>
      </c>
      <c r="K473" s="8">
        <f>IF(OR(F473="",G473=""),"ไม่ผ่าน",IF(H473&gt;=90,"ผ่าน","ไม่ผ่าน"))</f>
        <v/>
      </c>
      <c r="L473" s="8">
        <f>IF(K473="ผ่าน",1,0)</f>
        <v/>
      </c>
      <c r="N473" s="7" t="n"/>
    </row>
    <row r="474">
      <c r="F474" s="7" t="n"/>
      <c r="G474" s="7" t="n"/>
      <c r="H474" s="8">
        <f>IF(OR(F474="",G474=""),"",MAX(0,ROUND((G474-F474)*1440,0)))</f>
        <v/>
      </c>
      <c r="I474" s="8">
        <f>IF(F474="","ไม่ครบ","ครบ")</f>
        <v/>
      </c>
      <c r="J474" s="8">
        <f>IF(G474="","ไม่ครบ","ครบ")</f>
        <v/>
      </c>
      <c r="K474" s="8">
        <f>IF(OR(F474="",G474=""),"ไม่ผ่าน",IF(H474&gt;=90,"ผ่าน","ไม่ผ่าน"))</f>
        <v/>
      </c>
      <c r="L474" s="8">
        <f>IF(K474="ผ่าน",1,0)</f>
        <v/>
      </c>
      <c r="N474" s="7" t="n"/>
    </row>
    <row r="475">
      <c r="F475" s="7" t="n"/>
      <c r="G475" s="7" t="n"/>
      <c r="H475" s="8">
        <f>IF(OR(F475="",G475=""),"",MAX(0,ROUND((G475-F475)*1440,0)))</f>
        <v/>
      </c>
      <c r="I475" s="8">
        <f>IF(F475="","ไม่ครบ","ครบ")</f>
        <v/>
      </c>
      <c r="J475" s="8">
        <f>IF(G475="","ไม่ครบ","ครบ")</f>
        <v/>
      </c>
      <c r="K475" s="8">
        <f>IF(OR(F475="",G475=""),"ไม่ผ่าน",IF(H475&gt;=90,"ผ่าน","ไม่ผ่าน"))</f>
        <v/>
      </c>
      <c r="L475" s="8">
        <f>IF(K475="ผ่าน",1,0)</f>
        <v/>
      </c>
      <c r="N475" s="7" t="n"/>
    </row>
    <row r="476">
      <c r="F476" s="7" t="n"/>
      <c r="G476" s="7" t="n"/>
      <c r="H476" s="8">
        <f>IF(OR(F476="",G476=""),"",MAX(0,ROUND((G476-F476)*1440,0)))</f>
        <v/>
      </c>
      <c r="I476" s="8">
        <f>IF(F476="","ไม่ครบ","ครบ")</f>
        <v/>
      </c>
      <c r="J476" s="8">
        <f>IF(G476="","ไม่ครบ","ครบ")</f>
        <v/>
      </c>
      <c r="K476" s="8">
        <f>IF(OR(F476="",G476=""),"ไม่ผ่าน",IF(H476&gt;=90,"ผ่าน","ไม่ผ่าน"))</f>
        <v/>
      </c>
      <c r="L476" s="8">
        <f>IF(K476="ผ่าน",1,0)</f>
        <v/>
      </c>
      <c r="N476" s="7" t="n"/>
    </row>
    <row r="477">
      <c r="F477" s="7" t="n"/>
      <c r="G477" s="7" t="n"/>
      <c r="H477" s="8">
        <f>IF(OR(F477="",G477=""),"",MAX(0,ROUND((G477-F477)*1440,0)))</f>
        <v/>
      </c>
      <c r="I477" s="8">
        <f>IF(F477="","ไม่ครบ","ครบ")</f>
        <v/>
      </c>
      <c r="J477" s="8">
        <f>IF(G477="","ไม่ครบ","ครบ")</f>
        <v/>
      </c>
      <c r="K477" s="8">
        <f>IF(OR(F477="",G477=""),"ไม่ผ่าน",IF(H477&gt;=90,"ผ่าน","ไม่ผ่าน"))</f>
        <v/>
      </c>
      <c r="L477" s="8">
        <f>IF(K477="ผ่าน",1,0)</f>
        <v/>
      </c>
      <c r="N477" s="7" t="n"/>
    </row>
    <row r="478">
      <c r="F478" s="7" t="n"/>
      <c r="G478" s="7" t="n"/>
      <c r="H478" s="8">
        <f>IF(OR(F478="",G478=""),"",MAX(0,ROUND((G478-F478)*1440,0)))</f>
        <v/>
      </c>
      <c r="I478" s="8">
        <f>IF(F478="","ไม่ครบ","ครบ")</f>
        <v/>
      </c>
      <c r="J478" s="8">
        <f>IF(G478="","ไม่ครบ","ครบ")</f>
        <v/>
      </c>
      <c r="K478" s="8">
        <f>IF(OR(F478="",G478=""),"ไม่ผ่าน",IF(H478&gt;=90,"ผ่าน","ไม่ผ่าน"))</f>
        <v/>
      </c>
      <c r="L478" s="8">
        <f>IF(K478="ผ่าน",1,0)</f>
        <v/>
      </c>
      <c r="N478" s="7" t="n"/>
    </row>
    <row r="479">
      <c r="F479" s="7" t="n"/>
      <c r="G479" s="7" t="n"/>
      <c r="H479" s="8">
        <f>IF(OR(F479="",G479=""),"",MAX(0,ROUND((G479-F479)*1440,0)))</f>
        <v/>
      </c>
      <c r="I479" s="8">
        <f>IF(F479="","ไม่ครบ","ครบ")</f>
        <v/>
      </c>
      <c r="J479" s="8">
        <f>IF(G479="","ไม่ครบ","ครบ")</f>
        <v/>
      </c>
      <c r="K479" s="8">
        <f>IF(OR(F479="",G479=""),"ไม่ผ่าน",IF(H479&gt;=90,"ผ่าน","ไม่ผ่าน"))</f>
        <v/>
      </c>
      <c r="L479" s="8">
        <f>IF(K479="ผ่าน",1,0)</f>
        <v/>
      </c>
      <c r="N479" s="7" t="n"/>
    </row>
    <row r="480">
      <c r="F480" s="7" t="n"/>
      <c r="G480" s="7" t="n"/>
      <c r="H480" s="8">
        <f>IF(OR(F480="",G480=""),"",MAX(0,ROUND((G480-F480)*1440,0)))</f>
        <v/>
      </c>
      <c r="I480" s="8">
        <f>IF(F480="","ไม่ครบ","ครบ")</f>
        <v/>
      </c>
      <c r="J480" s="8">
        <f>IF(G480="","ไม่ครบ","ครบ")</f>
        <v/>
      </c>
      <c r="K480" s="8">
        <f>IF(OR(F480="",G480=""),"ไม่ผ่าน",IF(H480&gt;=90,"ผ่าน","ไม่ผ่าน"))</f>
        <v/>
      </c>
      <c r="L480" s="8">
        <f>IF(K480="ผ่าน",1,0)</f>
        <v/>
      </c>
      <c r="N480" s="7" t="n"/>
    </row>
    <row r="481">
      <c r="F481" s="7" t="n"/>
      <c r="G481" s="7" t="n"/>
      <c r="H481" s="8">
        <f>IF(OR(F481="",G481=""),"",MAX(0,ROUND((G481-F481)*1440,0)))</f>
        <v/>
      </c>
      <c r="I481" s="8">
        <f>IF(F481="","ไม่ครบ","ครบ")</f>
        <v/>
      </c>
      <c r="J481" s="8">
        <f>IF(G481="","ไม่ครบ","ครบ")</f>
        <v/>
      </c>
      <c r="K481" s="8">
        <f>IF(OR(F481="",G481=""),"ไม่ผ่าน",IF(H481&gt;=90,"ผ่าน","ไม่ผ่าน"))</f>
        <v/>
      </c>
      <c r="L481" s="8">
        <f>IF(K481="ผ่าน",1,0)</f>
        <v/>
      </c>
      <c r="N481" s="7" t="n"/>
    </row>
    <row r="482">
      <c r="F482" s="7" t="n"/>
      <c r="G482" s="7" t="n"/>
      <c r="H482" s="8">
        <f>IF(OR(F482="",G482=""),"",MAX(0,ROUND((G482-F482)*1440,0)))</f>
        <v/>
      </c>
      <c r="I482" s="8">
        <f>IF(F482="","ไม่ครบ","ครบ")</f>
        <v/>
      </c>
      <c r="J482" s="8">
        <f>IF(G482="","ไม่ครบ","ครบ")</f>
        <v/>
      </c>
      <c r="K482" s="8">
        <f>IF(OR(F482="",G482=""),"ไม่ผ่าน",IF(H482&gt;=90,"ผ่าน","ไม่ผ่าน"))</f>
        <v/>
      </c>
      <c r="L482" s="8">
        <f>IF(K482="ผ่าน",1,0)</f>
        <v/>
      </c>
      <c r="N482" s="7" t="n"/>
    </row>
    <row r="483">
      <c r="F483" s="7" t="n"/>
      <c r="G483" s="7" t="n"/>
      <c r="H483" s="8">
        <f>IF(OR(F483="",G483=""),"",MAX(0,ROUND((G483-F483)*1440,0)))</f>
        <v/>
      </c>
      <c r="I483" s="8">
        <f>IF(F483="","ไม่ครบ","ครบ")</f>
        <v/>
      </c>
      <c r="J483" s="8">
        <f>IF(G483="","ไม่ครบ","ครบ")</f>
        <v/>
      </c>
      <c r="K483" s="8">
        <f>IF(OR(F483="",G483=""),"ไม่ผ่าน",IF(H483&gt;=90,"ผ่าน","ไม่ผ่าน"))</f>
        <v/>
      </c>
      <c r="L483" s="8">
        <f>IF(K483="ผ่าน",1,0)</f>
        <v/>
      </c>
      <c r="N483" s="7" t="n"/>
    </row>
    <row r="484">
      <c r="F484" s="7" t="n"/>
      <c r="G484" s="7" t="n"/>
      <c r="H484" s="8">
        <f>IF(OR(F484="",G484=""),"",MAX(0,ROUND((G484-F484)*1440,0)))</f>
        <v/>
      </c>
      <c r="I484" s="8">
        <f>IF(F484="","ไม่ครบ","ครบ")</f>
        <v/>
      </c>
      <c r="J484" s="8">
        <f>IF(G484="","ไม่ครบ","ครบ")</f>
        <v/>
      </c>
      <c r="K484" s="8">
        <f>IF(OR(F484="",G484=""),"ไม่ผ่าน",IF(H484&gt;=90,"ผ่าน","ไม่ผ่าน"))</f>
        <v/>
      </c>
      <c r="L484" s="8">
        <f>IF(K484="ผ่าน",1,0)</f>
        <v/>
      </c>
      <c r="N484" s="7" t="n"/>
    </row>
    <row r="485">
      <c r="F485" s="7" t="n"/>
      <c r="G485" s="7" t="n"/>
      <c r="H485" s="8">
        <f>IF(OR(F485="",G485=""),"",MAX(0,ROUND((G485-F485)*1440,0)))</f>
        <v/>
      </c>
      <c r="I485" s="8">
        <f>IF(F485="","ไม่ครบ","ครบ")</f>
        <v/>
      </c>
      <c r="J485" s="8">
        <f>IF(G485="","ไม่ครบ","ครบ")</f>
        <v/>
      </c>
      <c r="K485" s="8">
        <f>IF(OR(F485="",G485=""),"ไม่ผ่าน",IF(H485&gt;=90,"ผ่าน","ไม่ผ่าน"))</f>
        <v/>
      </c>
      <c r="L485" s="8">
        <f>IF(K485="ผ่าน",1,0)</f>
        <v/>
      </c>
      <c r="N485" s="7" t="n"/>
    </row>
    <row r="486">
      <c r="F486" s="7" t="n"/>
      <c r="G486" s="7" t="n"/>
      <c r="H486" s="8">
        <f>IF(OR(F486="",G486=""),"",MAX(0,ROUND((G486-F486)*1440,0)))</f>
        <v/>
      </c>
      <c r="I486" s="8">
        <f>IF(F486="","ไม่ครบ","ครบ")</f>
        <v/>
      </c>
      <c r="J486" s="8">
        <f>IF(G486="","ไม่ครบ","ครบ")</f>
        <v/>
      </c>
      <c r="K486" s="8">
        <f>IF(OR(F486="",G486=""),"ไม่ผ่าน",IF(H486&gt;=90,"ผ่าน","ไม่ผ่าน"))</f>
        <v/>
      </c>
      <c r="L486" s="8">
        <f>IF(K486="ผ่าน",1,0)</f>
        <v/>
      </c>
      <c r="N486" s="7" t="n"/>
    </row>
    <row r="487">
      <c r="F487" s="7" t="n"/>
      <c r="G487" s="7" t="n"/>
      <c r="H487" s="8">
        <f>IF(OR(F487="",G487=""),"",MAX(0,ROUND((G487-F487)*1440,0)))</f>
        <v/>
      </c>
      <c r="I487" s="8">
        <f>IF(F487="","ไม่ครบ","ครบ")</f>
        <v/>
      </c>
      <c r="J487" s="8">
        <f>IF(G487="","ไม่ครบ","ครบ")</f>
        <v/>
      </c>
      <c r="K487" s="8">
        <f>IF(OR(F487="",G487=""),"ไม่ผ่าน",IF(H487&gt;=90,"ผ่าน","ไม่ผ่าน"))</f>
        <v/>
      </c>
      <c r="L487" s="8">
        <f>IF(K487="ผ่าน",1,0)</f>
        <v/>
      </c>
      <c r="N487" s="7" t="n"/>
    </row>
    <row r="488">
      <c r="F488" s="7" t="n"/>
      <c r="G488" s="7" t="n"/>
      <c r="H488" s="8">
        <f>IF(OR(F488="",G488=""),"",MAX(0,ROUND((G488-F488)*1440,0)))</f>
        <v/>
      </c>
      <c r="I488" s="8">
        <f>IF(F488="","ไม่ครบ","ครบ")</f>
        <v/>
      </c>
      <c r="J488" s="8">
        <f>IF(G488="","ไม่ครบ","ครบ")</f>
        <v/>
      </c>
      <c r="K488" s="8">
        <f>IF(OR(F488="",G488=""),"ไม่ผ่าน",IF(H488&gt;=90,"ผ่าน","ไม่ผ่าน"))</f>
        <v/>
      </c>
      <c r="L488" s="8">
        <f>IF(K488="ผ่าน",1,0)</f>
        <v/>
      </c>
      <c r="N488" s="7" t="n"/>
    </row>
    <row r="489">
      <c r="F489" s="7" t="n"/>
      <c r="G489" s="7" t="n"/>
      <c r="H489" s="8">
        <f>IF(OR(F489="",G489=""),"",MAX(0,ROUND((G489-F489)*1440,0)))</f>
        <v/>
      </c>
      <c r="I489" s="8">
        <f>IF(F489="","ไม่ครบ","ครบ")</f>
        <v/>
      </c>
      <c r="J489" s="8">
        <f>IF(G489="","ไม่ครบ","ครบ")</f>
        <v/>
      </c>
      <c r="K489" s="8">
        <f>IF(OR(F489="",G489=""),"ไม่ผ่าน",IF(H489&gt;=90,"ผ่าน","ไม่ผ่าน"))</f>
        <v/>
      </c>
      <c r="L489" s="8">
        <f>IF(K489="ผ่าน",1,0)</f>
        <v/>
      </c>
      <c r="N489" s="7" t="n"/>
    </row>
    <row r="490">
      <c r="F490" s="7" t="n"/>
      <c r="G490" s="7" t="n"/>
      <c r="H490" s="8">
        <f>IF(OR(F490="",G490=""),"",MAX(0,ROUND((G490-F490)*1440,0)))</f>
        <v/>
      </c>
      <c r="I490" s="8">
        <f>IF(F490="","ไม่ครบ","ครบ")</f>
        <v/>
      </c>
      <c r="J490" s="8">
        <f>IF(G490="","ไม่ครบ","ครบ")</f>
        <v/>
      </c>
      <c r="K490" s="8">
        <f>IF(OR(F490="",G490=""),"ไม่ผ่าน",IF(H490&gt;=90,"ผ่าน","ไม่ผ่าน"))</f>
        <v/>
      </c>
      <c r="L490" s="8">
        <f>IF(K490="ผ่าน",1,0)</f>
        <v/>
      </c>
      <c r="N490" s="7" t="n"/>
    </row>
    <row r="491">
      <c r="F491" s="7" t="n"/>
      <c r="G491" s="7" t="n"/>
      <c r="H491" s="8">
        <f>IF(OR(F491="",G491=""),"",MAX(0,ROUND((G491-F491)*1440,0)))</f>
        <v/>
      </c>
      <c r="I491" s="8">
        <f>IF(F491="","ไม่ครบ","ครบ")</f>
        <v/>
      </c>
      <c r="J491" s="8">
        <f>IF(G491="","ไม่ครบ","ครบ")</f>
        <v/>
      </c>
      <c r="K491" s="8">
        <f>IF(OR(F491="",G491=""),"ไม่ผ่าน",IF(H491&gt;=90,"ผ่าน","ไม่ผ่าน"))</f>
        <v/>
      </c>
      <c r="L491" s="8">
        <f>IF(K491="ผ่าน",1,0)</f>
        <v/>
      </c>
      <c r="N491" s="7" t="n"/>
    </row>
    <row r="492">
      <c r="F492" s="7" t="n"/>
      <c r="G492" s="7" t="n"/>
      <c r="H492" s="8">
        <f>IF(OR(F492="",G492=""),"",MAX(0,ROUND((G492-F492)*1440,0)))</f>
        <v/>
      </c>
      <c r="I492" s="8">
        <f>IF(F492="","ไม่ครบ","ครบ")</f>
        <v/>
      </c>
      <c r="J492" s="8">
        <f>IF(G492="","ไม่ครบ","ครบ")</f>
        <v/>
      </c>
      <c r="K492" s="8">
        <f>IF(OR(F492="",G492=""),"ไม่ผ่าน",IF(H492&gt;=90,"ผ่าน","ไม่ผ่าน"))</f>
        <v/>
      </c>
      <c r="L492" s="8">
        <f>IF(K492="ผ่าน",1,0)</f>
        <v/>
      </c>
      <c r="N492" s="7" t="n"/>
    </row>
    <row r="493">
      <c r="F493" s="7" t="n"/>
      <c r="G493" s="7" t="n"/>
      <c r="H493" s="8">
        <f>IF(OR(F493="",G493=""),"",MAX(0,ROUND((G493-F493)*1440,0)))</f>
        <v/>
      </c>
      <c r="I493" s="8">
        <f>IF(F493="","ไม่ครบ","ครบ")</f>
        <v/>
      </c>
      <c r="J493" s="8">
        <f>IF(G493="","ไม่ครบ","ครบ")</f>
        <v/>
      </c>
      <c r="K493" s="8">
        <f>IF(OR(F493="",G493=""),"ไม่ผ่าน",IF(H493&gt;=90,"ผ่าน","ไม่ผ่าน"))</f>
        <v/>
      </c>
      <c r="L493" s="8">
        <f>IF(K493="ผ่าน",1,0)</f>
        <v/>
      </c>
      <c r="N493" s="7" t="n"/>
    </row>
    <row r="494">
      <c r="F494" s="7" t="n"/>
      <c r="G494" s="7" t="n"/>
      <c r="H494" s="8">
        <f>IF(OR(F494="",G494=""),"",MAX(0,ROUND((G494-F494)*1440,0)))</f>
        <v/>
      </c>
      <c r="I494" s="8">
        <f>IF(F494="","ไม่ครบ","ครบ")</f>
        <v/>
      </c>
      <c r="J494" s="8">
        <f>IF(G494="","ไม่ครบ","ครบ")</f>
        <v/>
      </c>
      <c r="K494" s="8">
        <f>IF(OR(F494="",G494=""),"ไม่ผ่าน",IF(H494&gt;=90,"ผ่าน","ไม่ผ่าน"))</f>
        <v/>
      </c>
      <c r="L494" s="8">
        <f>IF(K494="ผ่าน",1,0)</f>
        <v/>
      </c>
      <c r="N494" s="7" t="n"/>
    </row>
    <row r="495">
      <c r="F495" s="7" t="n"/>
      <c r="G495" s="7" t="n"/>
      <c r="H495" s="8">
        <f>IF(OR(F495="",G495=""),"",MAX(0,ROUND((G495-F495)*1440,0)))</f>
        <v/>
      </c>
      <c r="I495" s="8">
        <f>IF(F495="","ไม่ครบ","ครบ")</f>
        <v/>
      </c>
      <c r="J495" s="8">
        <f>IF(G495="","ไม่ครบ","ครบ")</f>
        <v/>
      </c>
      <c r="K495" s="8">
        <f>IF(OR(F495="",G495=""),"ไม่ผ่าน",IF(H495&gt;=90,"ผ่าน","ไม่ผ่าน"))</f>
        <v/>
      </c>
      <c r="L495" s="8">
        <f>IF(K495="ผ่าน",1,0)</f>
        <v/>
      </c>
      <c r="N495" s="7" t="n"/>
    </row>
    <row r="496">
      <c r="F496" s="7" t="n"/>
      <c r="G496" s="7" t="n"/>
      <c r="H496" s="8">
        <f>IF(OR(F496="",G496=""),"",MAX(0,ROUND((G496-F496)*1440,0)))</f>
        <v/>
      </c>
      <c r="I496" s="8">
        <f>IF(F496="","ไม่ครบ","ครบ")</f>
        <v/>
      </c>
      <c r="J496" s="8">
        <f>IF(G496="","ไม่ครบ","ครบ")</f>
        <v/>
      </c>
      <c r="K496" s="8">
        <f>IF(OR(F496="",G496=""),"ไม่ผ่าน",IF(H496&gt;=90,"ผ่าน","ไม่ผ่าน"))</f>
        <v/>
      </c>
      <c r="L496" s="8">
        <f>IF(K496="ผ่าน",1,0)</f>
        <v/>
      </c>
      <c r="N496" s="7" t="n"/>
    </row>
    <row r="497">
      <c r="F497" s="7" t="n"/>
      <c r="G497" s="7" t="n"/>
      <c r="H497" s="8">
        <f>IF(OR(F497="",G497=""),"",MAX(0,ROUND((G497-F497)*1440,0)))</f>
        <v/>
      </c>
      <c r="I497" s="8">
        <f>IF(F497="","ไม่ครบ","ครบ")</f>
        <v/>
      </c>
      <c r="J497" s="8">
        <f>IF(G497="","ไม่ครบ","ครบ")</f>
        <v/>
      </c>
      <c r="K497" s="8">
        <f>IF(OR(F497="",G497=""),"ไม่ผ่าน",IF(H497&gt;=90,"ผ่าน","ไม่ผ่าน"))</f>
        <v/>
      </c>
      <c r="L497" s="8">
        <f>IF(K497="ผ่าน",1,0)</f>
        <v/>
      </c>
      <c r="N497" s="7" t="n"/>
    </row>
    <row r="498">
      <c r="F498" s="7" t="n"/>
      <c r="G498" s="7" t="n"/>
      <c r="H498" s="8">
        <f>IF(OR(F498="",G498=""),"",MAX(0,ROUND((G498-F498)*1440,0)))</f>
        <v/>
      </c>
      <c r="I498" s="8">
        <f>IF(F498="","ไม่ครบ","ครบ")</f>
        <v/>
      </c>
      <c r="J498" s="8">
        <f>IF(G498="","ไม่ครบ","ครบ")</f>
        <v/>
      </c>
      <c r="K498" s="8">
        <f>IF(OR(F498="",G498=""),"ไม่ผ่าน",IF(H498&gt;=90,"ผ่าน","ไม่ผ่าน"))</f>
        <v/>
      </c>
      <c r="L498" s="8">
        <f>IF(K498="ผ่าน",1,0)</f>
        <v/>
      </c>
      <c r="N498" s="7" t="n"/>
    </row>
    <row r="499">
      <c r="F499" s="7" t="n"/>
      <c r="G499" s="7" t="n"/>
      <c r="H499" s="8">
        <f>IF(OR(F499="",G499=""),"",MAX(0,ROUND((G499-F499)*1440,0)))</f>
        <v/>
      </c>
      <c r="I499" s="8">
        <f>IF(F499="","ไม่ครบ","ครบ")</f>
        <v/>
      </c>
      <c r="J499" s="8">
        <f>IF(G499="","ไม่ครบ","ครบ")</f>
        <v/>
      </c>
      <c r="K499" s="8">
        <f>IF(OR(F499="",G499=""),"ไม่ผ่าน",IF(H499&gt;=90,"ผ่าน","ไม่ผ่าน"))</f>
        <v/>
      </c>
      <c r="L499" s="8">
        <f>IF(K499="ผ่าน",1,0)</f>
        <v/>
      </c>
      <c r="N499" s="7" t="n"/>
    </row>
    <row r="500">
      <c r="F500" s="7" t="n"/>
      <c r="G500" s="7" t="n"/>
      <c r="H500" s="8">
        <f>IF(OR(F500="",G500=""),"",MAX(0,ROUND((G500-F500)*1440,0)))</f>
        <v/>
      </c>
      <c r="I500" s="8">
        <f>IF(F500="","ไม่ครบ","ครบ")</f>
        <v/>
      </c>
      <c r="J500" s="8">
        <f>IF(G500="","ไม่ครบ","ครบ")</f>
        <v/>
      </c>
      <c r="K500" s="8">
        <f>IF(OR(F500="",G500=""),"ไม่ผ่าน",IF(H500&gt;=90,"ผ่าน","ไม่ผ่าน"))</f>
        <v/>
      </c>
      <c r="L500" s="8">
        <f>IF(K500="ผ่าน",1,0)</f>
        <v/>
      </c>
      <c r="N500" s="7" t="n"/>
    </row>
    <row r="501">
      <c r="F501" s="7" t="n"/>
      <c r="G501" s="7" t="n"/>
      <c r="H501" s="8">
        <f>IF(OR(F501="",G501=""),"",MAX(0,ROUND((G501-F501)*1440,0)))</f>
        <v/>
      </c>
      <c r="I501" s="8">
        <f>IF(F501="","ไม่ครบ","ครบ")</f>
        <v/>
      </c>
      <c r="J501" s="8">
        <f>IF(G501="","ไม่ครบ","ครบ")</f>
        <v/>
      </c>
      <c r="K501" s="8">
        <f>IF(OR(F501="",G501=""),"ไม่ผ่าน",IF(H501&gt;=90,"ผ่าน","ไม่ผ่าน"))</f>
        <v/>
      </c>
      <c r="L501" s="8">
        <f>IF(K501="ผ่าน",1,0)</f>
        <v/>
      </c>
      <c r="N501" s="7" t="n"/>
    </row>
    <row r="502">
      <c r="F502" s="7" t="n"/>
      <c r="G502" s="7" t="n"/>
      <c r="H502" s="8">
        <f>IF(OR(F502="",G502=""),"",MAX(0,ROUND((G502-F502)*1440,0)))</f>
        <v/>
      </c>
      <c r="I502" s="8">
        <f>IF(F502="","ไม่ครบ","ครบ")</f>
        <v/>
      </c>
      <c r="J502" s="8">
        <f>IF(G502="","ไม่ครบ","ครบ")</f>
        <v/>
      </c>
      <c r="K502" s="8">
        <f>IF(OR(F502="",G502=""),"ไม่ผ่าน",IF(H502&gt;=90,"ผ่าน","ไม่ผ่าน"))</f>
        <v/>
      </c>
      <c r="L502" s="8">
        <f>IF(K502="ผ่าน",1,0)</f>
        <v/>
      </c>
      <c r="N502" s="7" t="n"/>
    </row>
    <row r="503">
      <c r="F503" s="7" t="n"/>
      <c r="G503" s="7" t="n"/>
      <c r="H503" s="8">
        <f>IF(OR(F503="",G503=""),"",MAX(0,ROUND((G503-F503)*1440,0)))</f>
        <v/>
      </c>
      <c r="I503" s="8">
        <f>IF(F503="","ไม่ครบ","ครบ")</f>
        <v/>
      </c>
      <c r="J503" s="8">
        <f>IF(G503="","ไม่ครบ","ครบ")</f>
        <v/>
      </c>
      <c r="K503" s="8">
        <f>IF(OR(F503="",G503=""),"ไม่ผ่าน",IF(H503&gt;=90,"ผ่าน","ไม่ผ่าน"))</f>
        <v/>
      </c>
      <c r="L503" s="8">
        <f>IF(K503="ผ่าน",1,0)</f>
        <v/>
      </c>
      <c r="N503" s="7" t="n"/>
    </row>
    <row r="504">
      <c r="F504" s="7" t="n"/>
      <c r="G504" s="7" t="n"/>
      <c r="H504" s="8">
        <f>IF(OR(F504="",G504=""),"",MAX(0,ROUND((G504-F504)*1440,0)))</f>
        <v/>
      </c>
      <c r="I504" s="8">
        <f>IF(F504="","ไม่ครบ","ครบ")</f>
        <v/>
      </c>
      <c r="J504" s="8">
        <f>IF(G504="","ไม่ครบ","ครบ")</f>
        <v/>
      </c>
      <c r="K504" s="8">
        <f>IF(OR(F504="",G504=""),"ไม่ผ่าน",IF(H504&gt;=90,"ผ่าน","ไม่ผ่าน"))</f>
        <v/>
      </c>
      <c r="L504" s="8">
        <f>IF(K504="ผ่าน",1,0)</f>
        <v/>
      </c>
      <c r="N504" s="7" t="n"/>
    </row>
    <row r="505">
      <c r="F505" s="7" t="n"/>
      <c r="G505" s="7" t="n"/>
      <c r="H505" s="8">
        <f>IF(OR(F505="",G505=""),"",MAX(0,ROUND((G505-F505)*1440,0)))</f>
        <v/>
      </c>
      <c r="I505" s="8">
        <f>IF(F505="","ไม่ครบ","ครบ")</f>
        <v/>
      </c>
      <c r="J505" s="8">
        <f>IF(G505="","ไม่ครบ","ครบ")</f>
        <v/>
      </c>
      <c r="K505" s="8">
        <f>IF(OR(F505="",G505=""),"ไม่ผ่าน",IF(H505&gt;=90,"ผ่าน","ไม่ผ่าน"))</f>
        <v/>
      </c>
      <c r="L505" s="8">
        <f>IF(K505="ผ่าน",1,0)</f>
        <v/>
      </c>
      <c r="N505" s="7" t="n"/>
    </row>
    <row r="506">
      <c r="F506" s="7" t="n"/>
      <c r="G506" s="7" t="n"/>
      <c r="H506" s="8">
        <f>IF(OR(F506="",G506=""),"",MAX(0,ROUND((G506-F506)*1440,0)))</f>
        <v/>
      </c>
      <c r="I506" s="8">
        <f>IF(F506="","ไม่ครบ","ครบ")</f>
        <v/>
      </c>
      <c r="J506" s="8">
        <f>IF(G506="","ไม่ครบ","ครบ")</f>
        <v/>
      </c>
      <c r="K506" s="8">
        <f>IF(OR(F506="",G506=""),"ไม่ผ่าน",IF(H506&gt;=90,"ผ่าน","ไม่ผ่าน"))</f>
        <v/>
      </c>
      <c r="L506" s="8">
        <f>IF(K506="ผ่าน",1,0)</f>
        <v/>
      </c>
      <c r="N506" s="7" t="n"/>
    </row>
    <row r="507">
      <c r="F507" s="7" t="n"/>
      <c r="G507" s="7" t="n"/>
      <c r="H507" s="8">
        <f>IF(OR(F507="",G507=""),"",MAX(0,ROUND((G507-F507)*1440,0)))</f>
        <v/>
      </c>
      <c r="I507" s="8">
        <f>IF(F507="","ไม่ครบ","ครบ")</f>
        <v/>
      </c>
      <c r="J507" s="8">
        <f>IF(G507="","ไม่ครบ","ครบ")</f>
        <v/>
      </c>
      <c r="K507" s="8">
        <f>IF(OR(F507="",G507=""),"ไม่ผ่าน",IF(H507&gt;=90,"ผ่าน","ไม่ผ่าน"))</f>
        <v/>
      </c>
      <c r="L507" s="8">
        <f>IF(K507="ผ่าน",1,0)</f>
        <v/>
      </c>
      <c r="N507" s="7" t="n"/>
    </row>
    <row r="508">
      <c r="F508" s="7" t="n"/>
      <c r="G508" s="7" t="n"/>
      <c r="H508" s="8">
        <f>IF(OR(F508="",G508=""),"",MAX(0,ROUND((G508-F508)*1440,0)))</f>
        <v/>
      </c>
      <c r="I508" s="8">
        <f>IF(F508="","ไม่ครบ","ครบ")</f>
        <v/>
      </c>
      <c r="J508" s="8">
        <f>IF(G508="","ไม่ครบ","ครบ")</f>
        <v/>
      </c>
      <c r="K508" s="8">
        <f>IF(OR(F508="",G508=""),"ไม่ผ่าน",IF(H508&gt;=90,"ผ่าน","ไม่ผ่าน"))</f>
        <v/>
      </c>
      <c r="L508" s="8">
        <f>IF(K508="ผ่าน",1,0)</f>
        <v/>
      </c>
      <c r="N508" s="7" t="n"/>
    </row>
    <row r="509">
      <c r="F509" s="7" t="n"/>
      <c r="G509" s="7" t="n"/>
      <c r="H509" s="8">
        <f>IF(OR(F509="",G509=""),"",MAX(0,ROUND((G509-F509)*1440,0)))</f>
        <v/>
      </c>
      <c r="I509" s="8">
        <f>IF(F509="","ไม่ครบ","ครบ")</f>
        <v/>
      </c>
      <c r="J509" s="8">
        <f>IF(G509="","ไม่ครบ","ครบ")</f>
        <v/>
      </c>
      <c r="K509" s="8">
        <f>IF(OR(F509="",G509=""),"ไม่ผ่าน",IF(H509&gt;=90,"ผ่าน","ไม่ผ่าน"))</f>
        <v/>
      </c>
      <c r="L509" s="8">
        <f>IF(K509="ผ่าน",1,0)</f>
        <v/>
      </c>
      <c r="N509" s="7" t="n"/>
    </row>
    <row r="510">
      <c r="F510" s="7" t="n"/>
      <c r="G510" s="7" t="n"/>
      <c r="H510" s="8">
        <f>IF(OR(F510="",G510=""),"",MAX(0,ROUND((G510-F510)*1440,0)))</f>
        <v/>
      </c>
      <c r="I510" s="8">
        <f>IF(F510="","ไม่ครบ","ครบ")</f>
        <v/>
      </c>
      <c r="J510" s="8">
        <f>IF(G510="","ไม่ครบ","ครบ")</f>
        <v/>
      </c>
      <c r="K510" s="8">
        <f>IF(OR(F510="",G510=""),"ไม่ผ่าน",IF(H510&gt;=90,"ผ่าน","ไม่ผ่าน"))</f>
        <v/>
      </c>
      <c r="L510" s="8">
        <f>IF(K510="ผ่าน",1,0)</f>
        <v/>
      </c>
      <c r="N510" s="7" t="n"/>
    </row>
    <row r="511">
      <c r="F511" s="7" t="n"/>
      <c r="G511" s="7" t="n"/>
      <c r="H511" s="8">
        <f>IF(OR(F511="",G511=""),"",MAX(0,ROUND((G511-F511)*1440,0)))</f>
        <v/>
      </c>
      <c r="I511" s="8">
        <f>IF(F511="","ไม่ครบ","ครบ")</f>
        <v/>
      </c>
      <c r="J511" s="8">
        <f>IF(G511="","ไม่ครบ","ครบ")</f>
        <v/>
      </c>
      <c r="K511" s="8">
        <f>IF(OR(F511="",G511=""),"ไม่ผ่าน",IF(H511&gt;=90,"ผ่าน","ไม่ผ่าน"))</f>
        <v/>
      </c>
      <c r="L511" s="8">
        <f>IF(K511="ผ่าน",1,0)</f>
        <v/>
      </c>
      <c r="N511" s="7" t="n"/>
    </row>
    <row r="512">
      <c r="F512" s="7" t="n"/>
      <c r="G512" s="7" t="n"/>
      <c r="H512" s="8">
        <f>IF(OR(F512="",G512=""),"",MAX(0,ROUND((G512-F512)*1440,0)))</f>
        <v/>
      </c>
      <c r="I512" s="8">
        <f>IF(F512="","ไม่ครบ","ครบ")</f>
        <v/>
      </c>
      <c r="J512" s="8">
        <f>IF(G512="","ไม่ครบ","ครบ")</f>
        <v/>
      </c>
      <c r="K512" s="8">
        <f>IF(OR(F512="",G512=""),"ไม่ผ่าน",IF(H512&gt;=90,"ผ่าน","ไม่ผ่าน"))</f>
        <v/>
      </c>
      <c r="L512" s="8">
        <f>IF(K512="ผ่าน",1,0)</f>
        <v/>
      </c>
      <c r="N512" s="7" t="n"/>
    </row>
    <row r="513">
      <c r="F513" s="7" t="n"/>
      <c r="G513" s="7" t="n"/>
      <c r="H513" s="8">
        <f>IF(OR(F513="",G513=""),"",MAX(0,ROUND((G513-F513)*1440,0)))</f>
        <v/>
      </c>
      <c r="I513" s="8">
        <f>IF(F513="","ไม่ครบ","ครบ")</f>
        <v/>
      </c>
      <c r="J513" s="8">
        <f>IF(G513="","ไม่ครบ","ครบ")</f>
        <v/>
      </c>
      <c r="K513" s="8">
        <f>IF(OR(F513="",G513=""),"ไม่ผ่าน",IF(H513&gt;=90,"ผ่าน","ไม่ผ่าน"))</f>
        <v/>
      </c>
      <c r="L513" s="8">
        <f>IF(K513="ผ่าน",1,0)</f>
        <v/>
      </c>
      <c r="N513" s="7" t="n"/>
    </row>
    <row r="514">
      <c r="F514" s="7" t="n"/>
      <c r="G514" s="7" t="n"/>
      <c r="H514" s="8">
        <f>IF(OR(F514="",G514=""),"",MAX(0,ROUND((G514-F514)*1440,0)))</f>
        <v/>
      </c>
      <c r="I514" s="8">
        <f>IF(F514="","ไม่ครบ","ครบ")</f>
        <v/>
      </c>
      <c r="J514" s="8">
        <f>IF(G514="","ไม่ครบ","ครบ")</f>
        <v/>
      </c>
      <c r="K514" s="8">
        <f>IF(OR(F514="",G514=""),"ไม่ผ่าน",IF(H514&gt;=90,"ผ่าน","ไม่ผ่าน"))</f>
        <v/>
      </c>
      <c r="L514" s="8">
        <f>IF(K514="ผ่าน",1,0)</f>
        <v/>
      </c>
      <c r="N514" s="7" t="n"/>
    </row>
    <row r="515">
      <c r="F515" s="7" t="n"/>
      <c r="G515" s="7" t="n"/>
      <c r="H515" s="8">
        <f>IF(OR(F515="",G515=""),"",MAX(0,ROUND((G515-F515)*1440,0)))</f>
        <v/>
      </c>
      <c r="I515" s="8">
        <f>IF(F515="","ไม่ครบ","ครบ")</f>
        <v/>
      </c>
      <c r="J515" s="8">
        <f>IF(G515="","ไม่ครบ","ครบ")</f>
        <v/>
      </c>
      <c r="K515" s="8">
        <f>IF(OR(F515="",G515=""),"ไม่ผ่าน",IF(H515&gt;=90,"ผ่าน","ไม่ผ่าน"))</f>
        <v/>
      </c>
      <c r="L515" s="8">
        <f>IF(K515="ผ่าน",1,0)</f>
        <v/>
      </c>
      <c r="N515" s="7" t="n"/>
    </row>
    <row r="516">
      <c r="F516" s="7" t="n"/>
      <c r="G516" s="7" t="n"/>
      <c r="H516" s="8">
        <f>IF(OR(F516="",G516=""),"",MAX(0,ROUND((G516-F516)*1440,0)))</f>
        <v/>
      </c>
      <c r="I516" s="8">
        <f>IF(F516="","ไม่ครบ","ครบ")</f>
        <v/>
      </c>
      <c r="J516" s="8">
        <f>IF(G516="","ไม่ครบ","ครบ")</f>
        <v/>
      </c>
      <c r="K516" s="8">
        <f>IF(OR(F516="",G516=""),"ไม่ผ่าน",IF(H516&gt;=90,"ผ่าน","ไม่ผ่าน"))</f>
        <v/>
      </c>
      <c r="L516" s="8">
        <f>IF(K516="ผ่าน",1,0)</f>
        <v/>
      </c>
      <c r="N516" s="7" t="n"/>
    </row>
    <row r="517">
      <c r="F517" s="7" t="n"/>
      <c r="G517" s="7" t="n"/>
      <c r="H517" s="8">
        <f>IF(OR(F517="",G517=""),"",MAX(0,ROUND((G517-F517)*1440,0)))</f>
        <v/>
      </c>
      <c r="I517" s="8">
        <f>IF(F517="","ไม่ครบ","ครบ")</f>
        <v/>
      </c>
      <c r="J517" s="8">
        <f>IF(G517="","ไม่ครบ","ครบ")</f>
        <v/>
      </c>
      <c r="K517" s="8">
        <f>IF(OR(F517="",G517=""),"ไม่ผ่าน",IF(H517&gt;=90,"ผ่าน","ไม่ผ่าน"))</f>
        <v/>
      </c>
      <c r="L517" s="8">
        <f>IF(K517="ผ่าน",1,0)</f>
        <v/>
      </c>
      <c r="N517" s="7" t="n"/>
    </row>
    <row r="518">
      <c r="F518" s="7" t="n"/>
      <c r="G518" s="7" t="n"/>
      <c r="H518" s="8">
        <f>IF(OR(F518="",G518=""),"",MAX(0,ROUND((G518-F518)*1440,0)))</f>
        <v/>
      </c>
      <c r="I518" s="8">
        <f>IF(F518="","ไม่ครบ","ครบ")</f>
        <v/>
      </c>
      <c r="J518" s="8">
        <f>IF(G518="","ไม่ครบ","ครบ")</f>
        <v/>
      </c>
      <c r="K518" s="8">
        <f>IF(OR(F518="",G518=""),"ไม่ผ่าน",IF(H518&gt;=90,"ผ่าน","ไม่ผ่าน"))</f>
        <v/>
      </c>
      <c r="L518" s="8">
        <f>IF(K518="ผ่าน",1,0)</f>
        <v/>
      </c>
      <c r="N518" s="7" t="n"/>
    </row>
    <row r="519">
      <c r="F519" s="7" t="n"/>
      <c r="G519" s="7" t="n"/>
      <c r="H519" s="8">
        <f>IF(OR(F519="",G519=""),"",MAX(0,ROUND((G519-F519)*1440,0)))</f>
        <v/>
      </c>
      <c r="I519" s="8">
        <f>IF(F519="","ไม่ครบ","ครบ")</f>
        <v/>
      </c>
      <c r="J519" s="8">
        <f>IF(G519="","ไม่ครบ","ครบ")</f>
        <v/>
      </c>
      <c r="K519" s="8">
        <f>IF(OR(F519="",G519=""),"ไม่ผ่าน",IF(H519&gt;=90,"ผ่าน","ไม่ผ่าน"))</f>
        <v/>
      </c>
      <c r="L519" s="8">
        <f>IF(K519="ผ่าน",1,0)</f>
        <v/>
      </c>
      <c r="N519" s="7" t="n"/>
    </row>
    <row r="520">
      <c r="F520" s="7" t="n"/>
      <c r="G520" s="7" t="n"/>
      <c r="H520" s="8">
        <f>IF(OR(F520="",G520=""),"",MAX(0,ROUND((G520-F520)*1440,0)))</f>
        <v/>
      </c>
      <c r="I520" s="8">
        <f>IF(F520="","ไม่ครบ","ครบ")</f>
        <v/>
      </c>
      <c r="J520" s="8">
        <f>IF(G520="","ไม่ครบ","ครบ")</f>
        <v/>
      </c>
      <c r="K520" s="8">
        <f>IF(OR(F520="",G520=""),"ไม่ผ่าน",IF(H520&gt;=90,"ผ่าน","ไม่ผ่าน"))</f>
        <v/>
      </c>
      <c r="L520" s="8">
        <f>IF(K520="ผ่าน",1,0)</f>
        <v/>
      </c>
      <c r="N520" s="7" t="n"/>
    </row>
    <row r="521">
      <c r="F521" s="7" t="n"/>
      <c r="G521" s="7" t="n"/>
      <c r="H521" s="8">
        <f>IF(OR(F521="",G521=""),"",MAX(0,ROUND((G521-F521)*1440,0)))</f>
        <v/>
      </c>
      <c r="I521" s="8">
        <f>IF(F521="","ไม่ครบ","ครบ")</f>
        <v/>
      </c>
      <c r="J521" s="8">
        <f>IF(G521="","ไม่ครบ","ครบ")</f>
        <v/>
      </c>
      <c r="K521" s="8">
        <f>IF(OR(F521="",G521=""),"ไม่ผ่าน",IF(H521&gt;=90,"ผ่าน","ไม่ผ่าน"))</f>
        <v/>
      </c>
      <c r="L521" s="8">
        <f>IF(K521="ผ่าน",1,0)</f>
        <v/>
      </c>
      <c r="N521" s="7" t="n"/>
    </row>
    <row r="522">
      <c r="F522" s="7" t="n"/>
      <c r="G522" s="7" t="n"/>
      <c r="H522" s="8">
        <f>IF(OR(F522="",G522=""),"",MAX(0,ROUND((G522-F522)*1440,0)))</f>
        <v/>
      </c>
      <c r="I522" s="8">
        <f>IF(F522="","ไม่ครบ","ครบ")</f>
        <v/>
      </c>
      <c r="J522" s="8">
        <f>IF(G522="","ไม่ครบ","ครบ")</f>
        <v/>
      </c>
      <c r="K522" s="8">
        <f>IF(OR(F522="",G522=""),"ไม่ผ่าน",IF(H522&gt;=90,"ผ่าน","ไม่ผ่าน"))</f>
        <v/>
      </c>
      <c r="L522" s="8">
        <f>IF(K522="ผ่าน",1,0)</f>
        <v/>
      </c>
      <c r="N522" s="7" t="n"/>
    </row>
    <row r="523">
      <c r="F523" s="7" t="n"/>
      <c r="G523" s="7" t="n"/>
      <c r="H523" s="8">
        <f>IF(OR(F523="",G523=""),"",MAX(0,ROUND((G523-F523)*1440,0)))</f>
        <v/>
      </c>
      <c r="I523" s="8">
        <f>IF(F523="","ไม่ครบ","ครบ")</f>
        <v/>
      </c>
      <c r="J523" s="8">
        <f>IF(G523="","ไม่ครบ","ครบ")</f>
        <v/>
      </c>
      <c r="K523" s="8">
        <f>IF(OR(F523="",G523=""),"ไม่ผ่าน",IF(H523&gt;=90,"ผ่าน","ไม่ผ่าน"))</f>
        <v/>
      </c>
      <c r="L523" s="8">
        <f>IF(K523="ผ่าน",1,0)</f>
        <v/>
      </c>
      <c r="N523" s="7" t="n"/>
    </row>
    <row r="524">
      <c r="F524" s="7" t="n"/>
      <c r="G524" s="7" t="n"/>
      <c r="H524" s="8">
        <f>IF(OR(F524="",G524=""),"",MAX(0,ROUND((G524-F524)*1440,0)))</f>
        <v/>
      </c>
      <c r="I524" s="8">
        <f>IF(F524="","ไม่ครบ","ครบ")</f>
        <v/>
      </c>
      <c r="J524" s="8">
        <f>IF(G524="","ไม่ครบ","ครบ")</f>
        <v/>
      </c>
      <c r="K524" s="8">
        <f>IF(OR(F524="",G524=""),"ไม่ผ่าน",IF(H524&gt;=90,"ผ่าน","ไม่ผ่าน"))</f>
        <v/>
      </c>
      <c r="L524" s="8">
        <f>IF(K524="ผ่าน",1,0)</f>
        <v/>
      </c>
      <c r="N524" s="7" t="n"/>
    </row>
    <row r="525">
      <c r="F525" s="7" t="n"/>
      <c r="G525" s="7" t="n"/>
      <c r="H525" s="8">
        <f>IF(OR(F525="",G525=""),"",MAX(0,ROUND((G525-F525)*1440,0)))</f>
        <v/>
      </c>
      <c r="I525" s="8">
        <f>IF(F525="","ไม่ครบ","ครบ")</f>
        <v/>
      </c>
      <c r="J525" s="8">
        <f>IF(G525="","ไม่ครบ","ครบ")</f>
        <v/>
      </c>
      <c r="K525" s="8">
        <f>IF(OR(F525="",G525=""),"ไม่ผ่าน",IF(H525&gt;=90,"ผ่าน","ไม่ผ่าน"))</f>
        <v/>
      </c>
      <c r="L525" s="8">
        <f>IF(K525="ผ่าน",1,0)</f>
        <v/>
      </c>
      <c r="N525" s="7" t="n"/>
    </row>
    <row r="526">
      <c r="F526" s="7" t="n"/>
      <c r="G526" s="7" t="n"/>
      <c r="H526" s="8">
        <f>IF(OR(F526="",G526=""),"",MAX(0,ROUND((G526-F526)*1440,0)))</f>
        <v/>
      </c>
      <c r="I526" s="8">
        <f>IF(F526="","ไม่ครบ","ครบ")</f>
        <v/>
      </c>
      <c r="J526" s="8">
        <f>IF(G526="","ไม่ครบ","ครบ")</f>
        <v/>
      </c>
      <c r="K526" s="8">
        <f>IF(OR(F526="",G526=""),"ไม่ผ่าน",IF(H526&gt;=90,"ผ่าน","ไม่ผ่าน"))</f>
        <v/>
      </c>
      <c r="L526" s="8">
        <f>IF(K526="ผ่าน",1,0)</f>
        <v/>
      </c>
      <c r="N526" s="7" t="n"/>
    </row>
    <row r="527">
      <c r="F527" s="7" t="n"/>
      <c r="G527" s="7" t="n"/>
      <c r="H527" s="8">
        <f>IF(OR(F527="",G527=""),"",MAX(0,ROUND((G527-F527)*1440,0)))</f>
        <v/>
      </c>
      <c r="I527" s="8">
        <f>IF(F527="","ไม่ครบ","ครบ")</f>
        <v/>
      </c>
      <c r="J527" s="8">
        <f>IF(G527="","ไม่ครบ","ครบ")</f>
        <v/>
      </c>
      <c r="K527" s="8">
        <f>IF(OR(F527="",G527=""),"ไม่ผ่าน",IF(H527&gt;=90,"ผ่าน","ไม่ผ่าน"))</f>
        <v/>
      </c>
      <c r="L527" s="8">
        <f>IF(K527="ผ่าน",1,0)</f>
        <v/>
      </c>
      <c r="N527" s="7" t="n"/>
    </row>
    <row r="528">
      <c r="F528" s="7" t="n"/>
      <c r="G528" s="7" t="n"/>
      <c r="H528" s="8">
        <f>IF(OR(F528="",G528=""),"",MAX(0,ROUND((G528-F528)*1440,0)))</f>
        <v/>
      </c>
      <c r="I528" s="8">
        <f>IF(F528="","ไม่ครบ","ครบ")</f>
        <v/>
      </c>
      <c r="J528" s="8">
        <f>IF(G528="","ไม่ครบ","ครบ")</f>
        <v/>
      </c>
      <c r="K528" s="8">
        <f>IF(OR(F528="",G528=""),"ไม่ผ่าน",IF(H528&gt;=90,"ผ่าน","ไม่ผ่าน"))</f>
        <v/>
      </c>
      <c r="L528" s="8">
        <f>IF(K528="ผ่าน",1,0)</f>
        <v/>
      </c>
      <c r="N528" s="7" t="n"/>
    </row>
    <row r="529">
      <c r="F529" s="7" t="n"/>
      <c r="G529" s="7" t="n"/>
      <c r="H529" s="8">
        <f>IF(OR(F529="",G529=""),"",MAX(0,ROUND((G529-F529)*1440,0)))</f>
        <v/>
      </c>
      <c r="I529" s="8">
        <f>IF(F529="","ไม่ครบ","ครบ")</f>
        <v/>
      </c>
      <c r="J529" s="8">
        <f>IF(G529="","ไม่ครบ","ครบ")</f>
        <v/>
      </c>
      <c r="K529" s="8">
        <f>IF(OR(F529="",G529=""),"ไม่ผ่าน",IF(H529&gt;=90,"ผ่าน","ไม่ผ่าน"))</f>
        <v/>
      </c>
      <c r="L529" s="8">
        <f>IF(K529="ผ่าน",1,0)</f>
        <v/>
      </c>
      <c r="N529" s="7" t="n"/>
    </row>
    <row r="530">
      <c r="F530" s="7" t="n"/>
      <c r="G530" s="7" t="n"/>
      <c r="H530" s="8">
        <f>IF(OR(F530="",G530=""),"",MAX(0,ROUND((G530-F530)*1440,0)))</f>
        <v/>
      </c>
      <c r="I530" s="8">
        <f>IF(F530="","ไม่ครบ","ครบ")</f>
        <v/>
      </c>
      <c r="J530" s="8">
        <f>IF(G530="","ไม่ครบ","ครบ")</f>
        <v/>
      </c>
      <c r="K530" s="8">
        <f>IF(OR(F530="",G530=""),"ไม่ผ่าน",IF(H530&gt;=90,"ผ่าน","ไม่ผ่าน"))</f>
        <v/>
      </c>
      <c r="L530" s="8">
        <f>IF(K530="ผ่าน",1,0)</f>
        <v/>
      </c>
      <c r="N530" s="7" t="n"/>
    </row>
    <row r="531">
      <c r="F531" s="7" t="n"/>
      <c r="G531" s="7" t="n"/>
      <c r="H531" s="8">
        <f>IF(OR(F531="",G531=""),"",MAX(0,ROUND((G531-F531)*1440,0)))</f>
        <v/>
      </c>
      <c r="I531" s="8">
        <f>IF(F531="","ไม่ครบ","ครบ")</f>
        <v/>
      </c>
      <c r="J531" s="8">
        <f>IF(G531="","ไม่ครบ","ครบ")</f>
        <v/>
      </c>
      <c r="K531" s="8">
        <f>IF(OR(F531="",G531=""),"ไม่ผ่าน",IF(H531&gt;=90,"ผ่าน","ไม่ผ่าน"))</f>
        <v/>
      </c>
      <c r="L531" s="8">
        <f>IF(K531="ผ่าน",1,0)</f>
        <v/>
      </c>
      <c r="N531" s="7" t="n"/>
    </row>
    <row r="532">
      <c r="F532" s="7" t="n"/>
      <c r="G532" s="7" t="n"/>
      <c r="H532" s="8">
        <f>IF(OR(F532="",G532=""),"",MAX(0,ROUND((G532-F532)*1440,0)))</f>
        <v/>
      </c>
      <c r="I532" s="8">
        <f>IF(F532="","ไม่ครบ","ครบ")</f>
        <v/>
      </c>
      <c r="J532" s="8">
        <f>IF(G532="","ไม่ครบ","ครบ")</f>
        <v/>
      </c>
      <c r="K532" s="8">
        <f>IF(OR(F532="",G532=""),"ไม่ผ่าน",IF(H532&gt;=90,"ผ่าน","ไม่ผ่าน"))</f>
        <v/>
      </c>
      <c r="L532" s="8">
        <f>IF(K532="ผ่าน",1,0)</f>
        <v/>
      </c>
      <c r="N532" s="7" t="n"/>
    </row>
    <row r="533">
      <c r="F533" s="7" t="n"/>
      <c r="G533" s="7" t="n"/>
      <c r="H533" s="8">
        <f>IF(OR(F533="",G533=""),"",MAX(0,ROUND((G533-F533)*1440,0)))</f>
        <v/>
      </c>
      <c r="I533" s="8">
        <f>IF(F533="","ไม่ครบ","ครบ")</f>
        <v/>
      </c>
      <c r="J533" s="8">
        <f>IF(G533="","ไม่ครบ","ครบ")</f>
        <v/>
      </c>
      <c r="K533" s="8">
        <f>IF(OR(F533="",G533=""),"ไม่ผ่าน",IF(H533&gt;=90,"ผ่าน","ไม่ผ่าน"))</f>
        <v/>
      </c>
      <c r="L533" s="8">
        <f>IF(K533="ผ่าน",1,0)</f>
        <v/>
      </c>
      <c r="N533" s="7" t="n"/>
    </row>
    <row r="534">
      <c r="F534" s="7" t="n"/>
      <c r="G534" s="7" t="n"/>
      <c r="H534" s="8">
        <f>IF(OR(F534="",G534=""),"",MAX(0,ROUND((G534-F534)*1440,0)))</f>
        <v/>
      </c>
      <c r="I534" s="8">
        <f>IF(F534="","ไม่ครบ","ครบ")</f>
        <v/>
      </c>
      <c r="J534" s="8">
        <f>IF(G534="","ไม่ครบ","ครบ")</f>
        <v/>
      </c>
      <c r="K534" s="8">
        <f>IF(OR(F534="",G534=""),"ไม่ผ่าน",IF(H534&gt;=90,"ผ่าน","ไม่ผ่าน"))</f>
        <v/>
      </c>
      <c r="L534" s="8">
        <f>IF(K534="ผ่าน",1,0)</f>
        <v/>
      </c>
      <c r="N534" s="7" t="n"/>
    </row>
    <row r="535">
      <c r="F535" s="7" t="n"/>
      <c r="G535" s="7" t="n"/>
      <c r="H535" s="8">
        <f>IF(OR(F535="",G535=""),"",MAX(0,ROUND((G535-F535)*1440,0)))</f>
        <v/>
      </c>
      <c r="I535" s="8">
        <f>IF(F535="","ไม่ครบ","ครบ")</f>
        <v/>
      </c>
      <c r="J535" s="8">
        <f>IF(G535="","ไม่ครบ","ครบ")</f>
        <v/>
      </c>
      <c r="K535" s="8">
        <f>IF(OR(F535="",G535=""),"ไม่ผ่าน",IF(H535&gt;=90,"ผ่าน","ไม่ผ่าน"))</f>
        <v/>
      </c>
      <c r="L535" s="8">
        <f>IF(K535="ผ่าน",1,0)</f>
        <v/>
      </c>
      <c r="N535" s="7" t="n"/>
    </row>
    <row r="536">
      <c r="F536" s="7" t="n"/>
      <c r="G536" s="7" t="n"/>
      <c r="H536" s="8">
        <f>IF(OR(F536="",G536=""),"",MAX(0,ROUND((G536-F536)*1440,0)))</f>
        <v/>
      </c>
      <c r="I536" s="8">
        <f>IF(F536="","ไม่ครบ","ครบ")</f>
        <v/>
      </c>
      <c r="J536" s="8">
        <f>IF(G536="","ไม่ครบ","ครบ")</f>
        <v/>
      </c>
      <c r="K536" s="8">
        <f>IF(OR(F536="",G536=""),"ไม่ผ่าน",IF(H536&gt;=90,"ผ่าน","ไม่ผ่าน"))</f>
        <v/>
      </c>
      <c r="L536" s="8">
        <f>IF(K536="ผ่าน",1,0)</f>
        <v/>
      </c>
      <c r="N536" s="7" t="n"/>
    </row>
    <row r="537">
      <c r="F537" s="7" t="n"/>
      <c r="G537" s="7" t="n"/>
      <c r="H537" s="8">
        <f>IF(OR(F537="",G537=""),"",MAX(0,ROUND((G537-F537)*1440,0)))</f>
        <v/>
      </c>
      <c r="I537" s="8">
        <f>IF(F537="","ไม่ครบ","ครบ")</f>
        <v/>
      </c>
      <c r="J537" s="8">
        <f>IF(G537="","ไม่ครบ","ครบ")</f>
        <v/>
      </c>
      <c r="K537" s="8">
        <f>IF(OR(F537="",G537=""),"ไม่ผ่าน",IF(H537&gt;=90,"ผ่าน","ไม่ผ่าน"))</f>
        <v/>
      </c>
      <c r="L537" s="8">
        <f>IF(K537="ผ่าน",1,0)</f>
        <v/>
      </c>
      <c r="N537" s="7" t="n"/>
    </row>
    <row r="538">
      <c r="F538" s="7" t="n"/>
      <c r="G538" s="7" t="n"/>
      <c r="H538" s="8">
        <f>IF(OR(F538="",G538=""),"",MAX(0,ROUND((G538-F538)*1440,0)))</f>
        <v/>
      </c>
      <c r="I538" s="8">
        <f>IF(F538="","ไม่ครบ","ครบ")</f>
        <v/>
      </c>
      <c r="J538" s="8">
        <f>IF(G538="","ไม่ครบ","ครบ")</f>
        <v/>
      </c>
      <c r="K538" s="8">
        <f>IF(OR(F538="",G538=""),"ไม่ผ่าน",IF(H538&gt;=90,"ผ่าน","ไม่ผ่าน"))</f>
        <v/>
      </c>
      <c r="L538" s="8">
        <f>IF(K538="ผ่าน",1,0)</f>
        <v/>
      </c>
      <c r="N538" s="7" t="n"/>
    </row>
    <row r="539">
      <c r="F539" s="7" t="n"/>
      <c r="G539" s="7" t="n"/>
      <c r="H539" s="8">
        <f>IF(OR(F539="",G539=""),"",MAX(0,ROUND((G539-F539)*1440,0)))</f>
        <v/>
      </c>
      <c r="I539" s="8">
        <f>IF(F539="","ไม่ครบ","ครบ")</f>
        <v/>
      </c>
      <c r="J539" s="8">
        <f>IF(G539="","ไม่ครบ","ครบ")</f>
        <v/>
      </c>
      <c r="K539" s="8">
        <f>IF(OR(F539="",G539=""),"ไม่ผ่าน",IF(H539&gt;=90,"ผ่าน","ไม่ผ่าน"))</f>
        <v/>
      </c>
      <c r="L539" s="8">
        <f>IF(K539="ผ่าน",1,0)</f>
        <v/>
      </c>
      <c r="N539" s="7" t="n"/>
    </row>
    <row r="540">
      <c r="F540" s="7" t="n"/>
      <c r="G540" s="7" t="n"/>
      <c r="H540" s="8">
        <f>IF(OR(F540="",G540=""),"",MAX(0,ROUND((G540-F540)*1440,0)))</f>
        <v/>
      </c>
      <c r="I540" s="8">
        <f>IF(F540="","ไม่ครบ","ครบ")</f>
        <v/>
      </c>
      <c r="J540" s="8">
        <f>IF(G540="","ไม่ครบ","ครบ")</f>
        <v/>
      </c>
      <c r="K540" s="8">
        <f>IF(OR(F540="",G540=""),"ไม่ผ่าน",IF(H540&gt;=90,"ผ่าน","ไม่ผ่าน"))</f>
        <v/>
      </c>
      <c r="L540" s="8">
        <f>IF(K540="ผ่าน",1,0)</f>
        <v/>
      </c>
      <c r="N540" s="7" t="n"/>
    </row>
    <row r="541">
      <c r="F541" s="7" t="n"/>
      <c r="G541" s="7" t="n"/>
      <c r="H541" s="8">
        <f>IF(OR(F541="",G541=""),"",MAX(0,ROUND((G541-F541)*1440,0)))</f>
        <v/>
      </c>
      <c r="I541" s="8">
        <f>IF(F541="","ไม่ครบ","ครบ")</f>
        <v/>
      </c>
      <c r="J541" s="8">
        <f>IF(G541="","ไม่ครบ","ครบ")</f>
        <v/>
      </c>
      <c r="K541" s="8">
        <f>IF(OR(F541="",G541=""),"ไม่ผ่าน",IF(H541&gt;=90,"ผ่าน","ไม่ผ่าน"))</f>
        <v/>
      </c>
      <c r="L541" s="8">
        <f>IF(K541="ผ่าน",1,0)</f>
        <v/>
      </c>
      <c r="N541" s="7" t="n"/>
    </row>
    <row r="542">
      <c r="F542" s="7" t="n"/>
      <c r="G542" s="7" t="n"/>
      <c r="H542" s="8">
        <f>IF(OR(F542="",G542=""),"",MAX(0,ROUND((G542-F542)*1440,0)))</f>
        <v/>
      </c>
      <c r="I542" s="8">
        <f>IF(F542="","ไม่ครบ","ครบ")</f>
        <v/>
      </c>
      <c r="J542" s="8">
        <f>IF(G542="","ไม่ครบ","ครบ")</f>
        <v/>
      </c>
      <c r="K542" s="8">
        <f>IF(OR(F542="",G542=""),"ไม่ผ่าน",IF(H542&gt;=90,"ผ่าน","ไม่ผ่าน"))</f>
        <v/>
      </c>
      <c r="L542" s="8">
        <f>IF(K542="ผ่าน",1,0)</f>
        <v/>
      </c>
      <c r="N542" s="7" t="n"/>
    </row>
    <row r="543">
      <c r="F543" s="7" t="n"/>
      <c r="G543" s="7" t="n"/>
      <c r="H543" s="8">
        <f>IF(OR(F543="",G543=""),"",MAX(0,ROUND((G543-F543)*1440,0)))</f>
        <v/>
      </c>
      <c r="I543" s="8">
        <f>IF(F543="","ไม่ครบ","ครบ")</f>
        <v/>
      </c>
      <c r="J543" s="8">
        <f>IF(G543="","ไม่ครบ","ครบ")</f>
        <v/>
      </c>
      <c r="K543" s="8">
        <f>IF(OR(F543="",G543=""),"ไม่ผ่าน",IF(H543&gt;=90,"ผ่าน","ไม่ผ่าน"))</f>
        <v/>
      </c>
      <c r="L543" s="8">
        <f>IF(K543="ผ่าน",1,0)</f>
        <v/>
      </c>
      <c r="N543" s="7" t="n"/>
    </row>
    <row r="544">
      <c r="F544" s="7" t="n"/>
      <c r="G544" s="7" t="n"/>
      <c r="H544" s="8">
        <f>IF(OR(F544="",G544=""),"",MAX(0,ROUND((G544-F544)*1440,0)))</f>
        <v/>
      </c>
      <c r="I544" s="8">
        <f>IF(F544="","ไม่ครบ","ครบ")</f>
        <v/>
      </c>
      <c r="J544" s="8">
        <f>IF(G544="","ไม่ครบ","ครบ")</f>
        <v/>
      </c>
      <c r="K544" s="8">
        <f>IF(OR(F544="",G544=""),"ไม่ผ่าน",IF(H544&gt;=90,"ผ่าน","ไม่ผ่าน"))</f>
        <v/>
      </c>
      <c r="L544" s="8">
        <f>IF(K544="ผ่าน",1,0)</f>
        <v/>
      </c>
      <c r="N544" s="7" t="n"/>
    </row>
    <row r="545">
      <c r="F545" s="7" t="n"/>
      <c r="G545" s="7" t="n"/>
      <c r="H545" s="8">
        <f>IF(OR(F545="",G545=""),"",MAX(0,ROUND((G545-F545)*1440,0)))</f>
        <v/>
      </c>
      <c r="I545" s="8">
        <f>IF(F545="","ไม่ครบ","ครบ")</f>
        <v/>
      </c>
      <c r="J545" s="8">
        <f>IF(G545="","ไม่ครบ","ครบ")</f>
        <v/>
      </c>
      <c r="K545" s="8">
        <f>IF(OR(F545="",G545=""),"ไม่ผ่าน",IF(H545&gt;=90,"ผ่าน","ไม่ผ่าน"))</f>
        <v/>
      </c>
      <c r="L545" s="8">
        <f>IF(K545="ผ่าน",1,0)</f>
        <v/>
      </c>
      <c r="N545" s="7" t="n"/>
    </row>
    <row r="546">
      <c r="F546" s="7" t="n"/>
      <c r="G546" s="7" t="n"/>
      <c r="H546" s="8">
        <f>IF(OR(F546="",G546=""),"",MAX(0,ROUND((G546-F546)*1440,0)))</f>
        <v/>
      </c>
      <c r="I546" s="8">
        <f>IF(F546="","ไม่ครบ","ครบ")</f>
        <v/>
      </c>
      <c r="J546" s="8">
        <f>IF(G546="","ไม่ครบ","ครบ")</f>
        <v/>
      </c>
      <c r="K546" s="8">
        <f>IF(OR(F546="",G546=""),"ไม่ผ่าน",IF(H546&gt;=90,"ผ่าน","ไม่ผ่าน"))</f>
        <v/>
      </c>
      <c r="L546" s="8">
        <f>IF(K546="ผ่าน",1,0)</f>
        <v/>
      </c>
      <c r="N546" s="7" t="n"/>
    </row>
    <row r="547">
      <c r="F547" s="7" t="n"/>
      <c r="G547" s="7" t="n"/>
      <c r="H547" s="8">
        <f>IF(OR(F547="",G547=""),"",MAX(0,ROUND((G547-F547)*1440,0)))</f>
        <v/>
      </c>
      <c r="I547" s="8">
        <f>IF(F547="","ไม่ครบ","ครบ")</f>
        <v/>
      </c>
      <c r="J547" s="8">
        <f>IF(G547="","ไม่ครบ","ครบ")</f>
        <v/>
      </c>
      <c r="K547" s="8">
        <f>IF(OR(F547="",G547=""),"ไม่ผ่าน",IF(H547&gt;=90,"ผ่าน","ไม่ผ่าน"))</f>
        <v/>
      </c>
      <c r="L547" s="8">
        <f>IF(K547="ผ่าน",1,0)</f>
        <v/>
      </c>
      <c r="N547" s="7" t="n"/>
    </row>
    <row r="548">
      <c r="F548" s="7" t="n"/>
      <c r="G548" s="7" t="n"/>
      <c r="H548" s="8">
        <f>IF(OR(F548="",G548=""),"",MAX(0,ROUND((G548-F548)*1440,0)))</f>
        <v/>
      </c>
      <c r="I548" s="8">
        <f>IF(F548="","ไม่ครบ","ครบ")</f>
        <v/>
      </c>
      <c r="J548" s="8">
        <f>IF(G548="","ไม่ครบ","ครบ")</f>
        <v/>
      </c>
      <c r="K548" s="8">
        <f>IF(OR(F548="",G548=""),"ไม่ผ่าน",IF(H548&gt;=90,"ผ่าน","ไม่ผ่าน"))</f>
        <v/>
      </c>
      <c r="L548" s="8">
        <f>IF(K548="ผ่าน",1,0)</f>
        <v/>
      </c>
      <c r="N548" s="7" t="n"/>
    </row>
    <row r="549">
      <c r="F549" s="7" t="n"/>
      <c r="G549" s="7" t="n"/>
      <c r="H549" s="8">
        <f>IF(OR(F549="",G549=""),"",MAX(0,ROUND((G549-F549)*1440,0)))</f>
        <v/>
      </c>
      <c r="I549" s="8">
        <f>IF(F549="","ไม่ครบ","ครบ")</f>
        <v/>
      </c>
      <c r="J549" s="8">
        <f>IF(G549="","ไม่ครบ","ครบ")</f>
        <v/>
      </c>
      <c r="K549" s="8">
        <f>IF(OR(F549="",G549=""),"ไม่ผ่าน",IF(H549&gt;=90,"ผ่าน","ไม่ผ่าน"))</f>
        <v/>
      </c>
      <c r="L549" s="8">
        <f>IF(K549="ผ่าน",1,0)</f>
        <v/>
      </c>
      <c r="N549" s="7" t="n"/>
    </row>
    <row r="550">
      <c r="F550" s="7" t="n"/>
      <c r="G550" s="7" t="n"/>
      <c r="H550" s="8">
        <f>IF(OR(F550="",G550=""),"",MAX(0,ROUND((G550-F550)*1440,0)))</f>
        <v/>
      </c>
      <c r="I550" s="8">
        <f>IF(F550="","ไม่ครบ","ครบ")</f>
        <v/>
      </c>
      <c r="J550" s="8">
        <f>IF(G550="","ไม่ครบ","ครบ")</f>
        <v/>
      </c>
      <c r="K550" s="8">
        <f>IF(OR(F550="",G550=""),"ไม่ผ่าน",IF(H550&gt;=90,"ผ่าน","ไม่ผ่าน"))</f>
        <v/>
      </c>
      <c r="L550" s="8">
        <f>IF(K550="ผ่าน",1,0)</f>
        <v/>
      </c>
      <c r="N550" s="7" t="n"/>
    </row>
    <row r="551">
      <c r="F551" s="7" t="n"/>
      <c r="G551" s="7" t="n"/>
      <c r="H551" s="8">
        <f>IF(OR(F551="",G551=""),"",MAX(0,ROUND((G551-F551)*1440,0)))</f>
        <v/>
      </c>
      <c r="I551" s="8">
        <f>IF(F551="","ไม่ครบ","ครบ")</f>
        <v/>
      </c>
      <c r="J551" s="8">
        <f>IF(G551="","ไม่ครบ","ครบ")</f>
        <v/>
      </c>
      <c r="K551" s="8">
        <f>IF(OR(F551="",G551=""),"ไม่ผ่าน",IF(H551&gt;=90,"ผ่าน","ไม่ผ่าน"))</f>
        <v/>
      </c>
      <c r="L551" s="8">
        <f>IF(K551="ผ่าน",1,0)</f>
        <v/>
      </c>
      <c r="N551" s="7" t="n"/>
    </row>
    <row r="552">
      <c r="F552" s="7" t="n"/>
      <c r="G552" s="7" t="n"/>
      <c r="H552" s="8">
        <f>IF(OR(F552="",G552=""),"",MAX(0,ROUND((G552-F552)*1440,0)))</f>
        <v/>
      </c>
      <c r="I552" s="8">
        <f>IF(F552="","ไม่ครบ","ครบ")</f>
        <v/>
      </c>
      <c r="J552" s="8">
        <f>IF(G552="","ไม่ครบ","ครบ")</f>
        <v/>
      </c>
      <c r="K552" s="8">
        <f>IF(OR(F552="",G552=""),"ไม่ผ่าน",IF(H552&gt;=90,"ผ่าน","ไม่ผ่าน"))</f>
        <v/>
      </c>
      <c r="L552" s="8">
        <f>IF(K552="ผ่าน",1,0)</f>
        <v/>
      </c>
      <c r="N552" s="7" t="n"/>
    </row>
    <row r="553">
      <c r="F553" s="7" t="n"/>
      <c r="G553" s="7" t="n"/>
      <c r="H553" s="8">
        <f>IF(OR(F553="",G553=""),"",MAX(0,ROUND((G553-F553)*1440,0)))</f>
        <v/>
      </c>
      <c r="I553" s="8">
        <f>IF(F553="","ไม่ครบ","ครบ")</f>
        <v/>
      </c>
      <c r="J553" s="8">
        <f>IF(G553="","ไม่ครบ","ครบ")</f>
        <v/>
      </c>
      <c r="K553" s="8">
        <f>IF(OR(F553="",G553=""),"ไม่ผ่าน",IF(H553&gt;=90,"ผ่าน","ไม่ผ่าน"))</f>
        <v/>
      </c>
      <c r="L553" s="8">
        <f>IF(K553="ผ่าน",1,0)</f>
        <v/>
      </c>
      <c r="N553" s="7" t="n"/>
    </row>
    <row r="554">
      <c r="F554" s="7" t="n"/>
      <c r="G554" s="7" t="n"/>
      <c r="H554" s="8">
        <f>IF(OR(F554="",G554=""),"",MAX(0,ROUND((G554-F554)*1440,0)))</f>
        <v/>
      </c>
      <c r="I554" s="8">
        <f>IF(F554="","ไม่ครบ","ครบ")</f>
        <v/>
      </c>
      <c r="J554" s="8">
        <f>IF(G554="","ไม่ครบ","ครบ")</f>
        <v/>
      </c>
      <c r="K554" s="8">
        <f>IF(OR(F554="",G554=""),"ไม่ผ่าน",IF(H554&gt;=90,"ผ่าน","ไม่ผ่าน"))</f>
        <v/>
      </c>
      <c r="L554" s="8">
        <f>IF(K554="ผ่าน",1,0)</f>
        <v/>
      </c>
      <c r="N554" s="7" t="n"/>
    </row>
    <row r="555">
      <c r="F555" s="7" t="n"/>
      <c r="G555" s="7" t="n"/>
      <c r="H555" s="8">
        <f>IF(OR(F555="",G555=""),"",MAX(0,ROUND((G555-F555)*1440,0)))</f>
        <v/>
      </c>
      <c r="I555" s="8">
        <f>IF(F555="","ไม่ครบ","ครบ")</f>
        <v/>
      </c>
      <c r="J555" s="8">
        <f>IF(G555="","ไม่ครบ","ครบ")</f>
        <v/>
      </c>
      <c r="K555" s="8">
        <f>IF(OR(F555="",G555=""),"ไม่ผ่าน",IF(H555&gt;=90,"ผ่าน","ไม่ผ่าน"))</f>
        <v/>
      </c>
      <c r="L555" s="8">
        <f>IF(K555="ผ่าน",1,0)</f>
        <v/>
      </c>
      <c r="N555" s="7" t="n"/>
    </row>
    <row r="556">
      <c r="F556" s="7" t="n"/>
      <c r="G556" s="7" t="n"/>
      <c r="H556" s="8">
        <f>IF(OR(F556="",G556=""),"",MAX(0,ROUND((G556-F556)*1440,0)))</f>
        <v/>
      </c>
      <c r="I556" s="8">
        <f>IF(F556="","ไม่ครบ","ครบ")</f>
        <v/>
      </c>
      <c r="J556" s="8">
        <f>IF(G556="","ไม่ครบ","ครบ")</f>
        <v/>
      </c>
      <c r="K556" s="8">
        <f>IF(OR(F556="",G556=""),"ไม่ผ่าน",IF(H556&gt;=90,"ผ่าน","ไม่ผ่าน"))</f>
        <v/>
      </c>
      <c r="L556" s="8">
        <f>IF(K556="ผ่าน",1,0)</f>
        <v/>
      </c>
      <c r="N556" s="7" t="n"/>
    </row>
    <row r="557">
      <c r="F557" s="7" t="n"/>
      <c r="G557" s="7" t="n"/>
      <c r="H557" s="8">
        <f>IF(OR(F557="",G557=""),"",MAX(0,ROUND((G557-F557)*1440,0)))</f>
        <v/>
      </c>
      <c r="I557" s="8">
        <f>IF(F557="","ไม่ครบ","ครบ")</f>
        <v/>
      </c>
      <c r="J557" s="8">
        <f>IF(G557="","ไม่ครบ","ครบ")</f>
        <v/>
      </c>
      <c r="K557" s="8">
        <f>IF(OR(F557="",G557=""),"ไม่ผ่าน",IF(H557&gt;=90,"ผ่าน","ไม่ผ่าน"))</f>
        <v/>
      </c>
      <c r="L557" s="8">
        <f>IF(K557="ผ่าน",1,0)</f>
        <v/>
      </c>
      <c r="N557" s="7" t="n"/>
    </row>
    <row r="558">
      <c r="F558" s="7" t="n"/>
      <c r="G558" s="7" t="n"/>
      <c r="H558" s="8">
        <f>IF(OR(F558="",G558=""),"",MAX(0,ROUND((G558-F558)*1440,0)))</f>
        <v/>
      </c>
      <c r="I558" s="8">
        <f>IF(F558="","ไม่ครบ","ครบ")</f>
        <v/>
      </c>
      <c r="J558" s="8">
        <f>IF(G558="","ไม่ครบ","ครบ")</f>
        <v/>
      </c>
      <c r="K558" s="8">
        <f>IF(OR(F558="",G558=""),"ไม่ผ่าน",IF(H558&gt;=90,"ผ่าน","ไม่ผ่าน"))</f>
        <v/>
      </c>
      <c r="L558" s="8">
        <f>IF(K558="ผ่าน",1,0)</f>
        <v/>
      </c>
      <c r="N558" s="7" t="n"/>
    </row>
    <row r="559">
      <c r="F559" s="7" t="n"/>
      <c r="G559" s="7" t="n"/>
      <c r="H559" s="8">
        <f>IF(OR(F559="",G559=""),"",MAX(0,ROUND((G559-F559)*1440,0)))</f>
        <v/>
      </c>
      <c r="I559" s="8">
        <f>IF(F559="","ไม่ครบ","ครบ")</f>
        <v/>
      </c>
      <c r="J559" s="8">
        <f>IF(G559="","ไม่ครบ","ครบ")</f>
        <v/>
      </c>
      <c r="K559" s="8">
        <f>IF(OR(F559="",G559=""),"ไม่ผ่าน",IF(H559&gt;=90,"ผ่าน","ไม่ผ่าน"))</f>
        <v/>
      </c>
      <c r="L559" s="8">
        <f>IF(K559="ผ่าน",1,0)</f>
        <v/>
      </c>
      <c r="N559" s="7" t="n"/>
    </row>
    <row r="560">
      <c r="F560" s="7" t="n"/>
      <c r="G560" s="7" t="n"/>
      <c r="H560" s="8">
        <f>IF(OR(F560="",G560=""),"",MAX(0,ROUND((G560-F560)*1440,0)))</f>
        <v/>
      </c>
      <c r="I560" s="8">
        <f>IF(F560="","ไม่ครบ","ครบ")</f>
        <v/>
      </c>
      <c r="J560" s="8">
        <f>IF(G560="","ไม่ครบ","ครบ")</f>
        <v/>
      </c>
      <c r="K560" s="8">
        <f>IF(OR(F560="",G560=""),"ไม่ผ่าน",IF(H560&gt;=90,"ผ่าน","ไม่ผ่าน"))</f>
        <v/>
      </c>
      <c r="L560" s="8">
        <f>IF(K560="ผ่าน",1,0)</f>
        <v/>
      </c>
      <c r="N560" s="7" t="n"/>
    </row>
    <row r="561">
      <c r="F561" s="7" t="n"/>
      <c r="G561" s="7" t="n"/>
      <c r="H561" s="8">
        <f>IF(OR(F561="",G561=""),"",MAX(0,ROUND((G561-F561)*1440,0)))</f>
        <v/>
      </c>
      <c r="I561" s="8">
        <f>IF(F561="","ไม่ครบ","ครบ")</f>
        <v/>
      </c>
      <c r="J561" s="8">
        <f>IF(G561="","ไม่ครบ","ครบ")</f>
        <v/>
      </c>
      <c r="K561" s="8">
        <f>IF(OR(F561="",G561=""),"ไม่ผ่าน",IF(H561&gt;=90,"ผ่าน","ไม่ผ่าน"))</f>
        <v/>
      </c>
      <c r="L561" s="8">
        <f>IF(K561="ผ่าน",1,0)</f>
        <v/>
      </c>
      <c r="N561" s="7" t="n"/>
    </row>
    <row r="562">
      <c r="F562" s="7" t="n"/>
      <c r="G562" s="7" t="n"/>
      <c r="H562" s="8">
        <f>IF(OR(F562="",G562=""),"",MAX(0,ROUND((G562-F562)*1440,0)))</f>
        <v/>
      </c>
      <c r="I562" s="8">
        <f>IF(F562="","ไม่ครบ","ครบ")</f>
        <v/>
      </c>
      <c r="J562" s="8">
        <f>IF(G562="","ไม่ครบ","ครบ")</f>
        <v/>
      </c>
      <c r="K562" s="8">
        <f>IF(OR(F562="",G562=""),"ไม่ผ่าน",IF(H562&gt;=90,"ผ่าน","ไม่ผ่าน"))</f>
        <v/>
      </c>
      <c r="L562" s="8">
        <f>IF(K562="ผ่าน",1,0)</f>
        <v/>
      </c>
      <c r="N562" s="7" t="n"/>
    </row>
    <row r="563">
      <c r="F563" s="7" t="n"/>
      <c r="G563" s="7" t="n"/>
      <c r="H563" s="8">
        <f>IF(OR(F563="",G563=""),"",MAX(0,ROUND((G563-F563)*1440,0)))</f>
        <v/>
      </c>
      <c r="I563" s="8">
        <f>IF(F563="","ไม่ครบ","ครบ")</f>
        <v/>
      </c>
      <c r="J563" s="8">
        <f>IF(G563="","ไม่ครบ","ครบ")</f>
        <v/>
      </c>
      <c r="K563" s="8">
        <f>IF(OR(F563="",G563=""),"ไม่ผ่าน",IF(H563&gt;=90,"ผ่าน","ไม่ผ่าน"))</f>
        <v/>
      </c>
      <c r="L563" s="8">
        <f>IF(K563="ผ่าน",1,0)</f>
        <v/>
      </c>
      <c r="N563" s="7" t="n"/>
    </row>
    <row r="564">
      <c r="F564" s="7" t="n"/>
      <c r="G564" s="7" t="n"/>
      <c r="H564" s="8">
        <f>IF(OR(F564="",G564=""),"",MAX(0,ROUND((G564-F564)*1440,0)))</f>
        <v/>
      </c>
      <c r="I564" s="8">
        <f>IF(F564="","ไม่ครบ","ครบ")</f>
        <v/>
      </c>
      <c r="J564" s="8">
        <f>IF(G564="","ไม่ครบ","ครบ")</f>
        <v/>
      </c>
      <c r="K564" s="8">
        <f>IF(OR(F564="",G564=""),"ไม่ผ่าน",IF(H564&gt;=90,"ผ่าน","ไม่ผ่าน"))</f>
        <v/>
      </c>
      <c r="L564" s="8">
        <f>IF(K564="ผ่าน",1,0)</f>
        <v/>
      </c>
      <c r="N564" s="7" t="n"/>
    </row>
    <row r="565">
      <c r="F565" s="7" t="n"/>
      <c r="G565" s="7" t="n"/>
      <c r="H565" s="8">
        <f>IF(OR(F565="",G565=""),"",MAX(0,ROUND((G565-F565)*1440,0)))</f>
        <v/>
      </c>
      <c r="I565" s="8">
        <f>IF(F565="","ไม่ครบ","ครบ")</f>
        <v/>
      </c>
      <c r="J565" s="8">
        <f>IF(G565="","ไม่ครบ","ครบ")</f>
        <v/>
      </c>
      <c r="K565" s="8">
        <f>IF(OR(F565="",G565=""),"ไม่ผ่าน",IF(H565&gt;=90,"ผ่าน","ไม่ผ่าน"))</f>
        <v/>
      </c>
      <c r="L565" s="8">
        <f>IF(K565="ผ่าน",1,0)</f>
        <v/>
      </c>
      <c r="N565" s="7" t="n"/>
    </row>
    <row r="566">
      <c r="F566" s="7" t="n"/>
      <c r="G566" s="7" t="n"/>
      <c r="H566" s="8">
        <f>IF(OR(F566="",G566=""),"",MAX(0,ROUND((G566-F566)*1440,0)))</f>
        <v/>
      </c>
      <c r="I566" s="8">
        <f>IF(F566="","ไม่ครบ","ครบ")</f>
        <v/>
      </c>
      <c r="J566" s="8">
        <f>IF(G566="","ไม่ครบ","ครบ")</f>
        <v/>
      </c>
      <c r="K566" s="8">
        <f>IF(OR(F566="",G566=""),"ไม่ผ่าน",IF(H566&gt;=90,"ผ่าน","ไม่ผ่าน"))</f>
        <v/>
      </c>
      <c r="L566" s="8">
        <f>IF(K566="ผ่าน",1,0)</f>
        <v/>
      </c>
      <c r="N566" s="7" t="n"/>
    </row>
    <row r="567">
      <c r="F567" s="7" t="n"/>
      <c r="G567" s="7" t="n"/>
      <c r="H567" s="8">
        <f>IF(OR(F567="",G567=""),"",MAX(0,ROUND((G567-F567)*1440,0)))</f>
        <v/>
      </c>
      <c r="I567" s="8">
        <f>IF(F567="","ไม่ครบ","ครบ")</f>
        <v/>
      </c>
      <c r="J567" s="8">
        <f>IF(G567="","ไม่ครบ","ครบ")</f>
        <v/>
      </c>
      <c r="K567" s="8">
        <f>IF(OR(F567="",G567=""),"ไม่ผ่าน",IF(H567&gt;=90,"ผ่าน","ไม่ผ่าน"))</f>
        <v/>
      </c>
      <c r="L567" s="8">
        <f>IF(K567="ผ่าน",1,0)</f>
        <v/>
      </c>
      <c r="N567" s="7" t="n"/>
    </row>
    <row r="568">
      <c r="F568" s="7" t="n"/>
      <c r="G568" s="7" t="n"/>
      <c r="H568" s="8">
        <f>IF(OR(F568="",G568=""),"",MAX(0,ROUND((G568-F568)*1440,0)))</f>
        <v/>
      </c>
      <c r="I568" s="8">
        <f>IF(F568="","ไม่ครบ","ครบ")</f>
        <v/>
      </c>
      <c r="J568" s="8">
        <f>IF(G568="","ไม่ครบ","ครบ")</f>
        <v/>
      </c>
      <c r="K568" s="8">
        <f>IF(OR(F568="",G568=""),"ไม่ผ่าน",IF(H568&gt;=90,"ผ่าน","ไม่ผ่าน"))</f>
        <v/>
      </c>
      <c r="L568" s="8">
        <f>IF(K568="ผ่าน",1,0)</f>
        <v/>
      </c>
      <c r="N568" s="7" t="n"/>
    </row>
    <row r="569">
      <c r="F569" s="7" t="n"/>
      <c r="G569" s="7" t="n"/>
      <c r="H569" s="8">
        <f>IF(OR(F569="",G569=""),"",MAX(0,ROUND((G569-F569)*1440,0)))</f>
        <v/>
      </c>
      <c r="I569" s="8">
        <f>IF(F569="","ไม่ครบ","ครบ")</f>
        <v/>
      </c>
      <c r="J569" s="8">
        <f>IF(G569="","ไม่ครบ","ครบ")</f>
        <v/>
      </c>
      <c r="K569" s="8">
        <f>IF(OR(F569="",G569=""),"ไม่ผ่าน",IF(H569&gt;=90,"ผ่าน","ไม่ผ่าน"))</f>
        <v/>
      </c>
      <c r="L569" s="8">
        <f>IF(K569="ผ่าน",1,0)</f>
        <v/>
      </c>
      <c r="N569" s="7" t="n"/>
    </row>
    <row r="570">
      <c r="F570" s="7" t="n"/>
      <c r="G570" s="7" t="n"/>
      <c r="H570" s="8">
        <f>IF(OR(F570="",G570=""),"",MAX(0,ROUND((G570-F570)*1440,0)))</f>
        <v/>
      </c>
      <c r="I570" s="8">
        <f>IF(F570="","ไม่ครบ","ครบ")</f>
        <v/>
      </c>
      <c r="J570" s="8">
        <f>IF(G570="","ไม่ครบ","ครบ")</f>
        <v/>
      </c>
      <c r="K570" s="8">
        <f>IF(OR(F570="",G570=""),"ไม่ผ่าน",IF(H570&gt;=90,"ผ่าน","ไม่ผ่าน"))</f>
        <v/>
      </c>
      <c r="L570" s="8">
        <f>IF(K570="ผ่าน",1,0)</f>
        <v/>
      </c>
      <c r="N570" s="7" t="n"/>
    </row>
    <row r="571">
      <c r="F571" s="7" t="n"/>
      <c r="G571" s="7" t="n"/>
      <c r="H571" s="8">
        <f>IF(OR(F571="",G571=""),"",MAX(0,ROUND((G571-F571)*1440,0)))</f>
        <v/>
      </c>
      <c r="I571" s="8">
        <f>IF(F571="","ไม่ครบ","ครบ")</f>
        <v/>
      </c>
      <c r="J571" s="8">
        <f>IF(G571="","ไม่ครบ","ครบ")</f>
        <v/>
      </c>
      <c r="K571" s="8">
        <f>IF(OR(F571="",G571=""),"ไม่ผ่าน",IF(H571&gt;=90,"ผ่าน","ไม่ผ่าน"))</f>
        <v/>
      </c>
      <c r="L571" s="8">
        <f>IF(K571="ผ่าน",1,0)</f>
        <v/>
      </c>
      <c r="N571" s="7" t="n"/>
    </row>
    <row r="572">
      <c r="F572" s="7" t="n"/>
      <c r="G572" s="7" t="n"/>
      <c r="H572" s="8">
        <f>IF(OR(F572="",G572=""),"",MAX(0,ROUND((G572-F572)*1440,0)))</f>
        <v/>
      </c>
      <c r="I572" s="8">
        <f>IF(F572="","ไม่ครบ","ครบ")</f>
        <v/>
      </c>
      <c r="J572" s="8">
        <f>IF(G572="","ไม่ครบ","ครบ")</f>
        <v/>
      </c>
      <c r="K572" s="8">
        <f>IF(OR(F572="",G572=""),"ไม่ผ่าน",IF(H572&gt;=90,"ผ่าน","ไม่ผ่าน"))</f>
        <v/>
      </c>
      <c r="L572" s="8">
        <f>IF(K572="ผ่าน",1,0)</f>
        <v/>
      </c>
      <c r="N572" s="7" t="n"/>
    </row>
    <row r="573">
      <c r="F573" s="7" t="n"/>
      <c r="G573" s="7" t="n"/>
      <c r="H573" s="8">
        <f>IF(OR(F573="",G573=""),"",MAX(0,ROUND((G573-F573)*1440,0)))</f>
        <v/>
      </c>
      <c r="I573" s="8">
        <f>IF(F573="","ไม่ครบ","ครบ")</f>
        <v/>
      </c>
      <c r="J573" s="8">
        <f>IF(G573="","ไม่ครบ","ครบ")</f>
        <v/>
      </c>
      <c r="K573" s="8">
        <f>IF(OR(F573="",G573=""),"ไม่ผ่าน",IF(H573&gt;=90,"ผ่าน","ไม่ผ่าน"))</f>
        <v/>
      </c>
      <c r="L573" s="8">
        <f>IF(K573="ผ่าน",1,0)</f>
        <v/>
      </c>
      <c r="N573" s="7" t="n"/>
    </row>
    <row r="574">
      <c r="F574" s="7" t="n"/>
      <c r="G574" s="7" t="n"/>
      <c r="H574" s="8">
        <f>IF(OR(F574="",G574=""),"",MAX(0,ROUND((G574-F574)*1440,0)))</f>
        <v/>
      </c>
      <c r="I574" s="8">
        <f>IF(F574="","ไม่ครบ","ครบ")</f>
        <v/>
      </c>
      <c r="J574" s="8">
        <f>IF(G574="","ไม่ครบ","ครบ")</f>
        <v/>
      </c>
      <c r="K574" s="8">
        <f>IF(OR(F574="",G574=""),"ไม่ผ่าน",IF(H574&gt;=90,"ผ่าน","ไม่ผ่าน"))</f>
        <v/>
      </c>
      <c r="L574" s="8">
        <f>IF(K574="ผ่าน",1,0)</f>
        <v/>
      </c>
      <c r="N574" s="7" t="n"/>
    </row>
    <row r="575">
      <c r="F575" s="7" t="n"/>
      <c r="G575" s="7" t="n"/>
      <c r="H575" s="8">
        <f>IF(OR(F575="",G575=""),"",MAX(0,ROUND((G575-F575)*1440,0)))</f>
        <v/>
      </c>
      <c r="I575" s="8">
        <f>IF(F575="","ไม่ครบ","ครบ")</f>
        <v/>
      </c>
      <c r="J575" s="8">
        <f>IF(G575="","ไม่ครบ","ครบ")</f>
        <v/>
      </c>
      <c r="K575" s="8">
        <f>IF(OR(F575="",G575=""),"ไม่ผ่าน",IF(H575&gt;=90,"ผ่าน","ไม่ผ่าน"))</f>
        <v/>
      </c>
      <c r="L575" s="8">
        <f>IF(K575="ผ่าน",1,0)</f>
        <v/>
      </c>
      <c r="N575" s="7" t="n"/>
    </row>
    <row r="576">
      <c r="F576" s="7" t="n"/>
      <c r="G576" s="7" t="n"/>
      <c r="H576" s="8">
        <f>IF(OR(F576="",G576=""),"",MAX(0,ROUND((G576-F576)*1440,0)))</f>
        <v/>
      </c>
      <c r="I576" s="8">
        <f>IF(F576="","ไม่ครบ","ครบ")</f>
        <v/>
      </c>
      <c r="J576" s="8">
        <f>IF(G576="","ไม่ครบ","ครบ")</f>
        <v/>
      </c>
      <c r="K576" s="8">
        <f>IF(OR(F576="",G576=""),"ไม่ผ่าน",IF(H576&gt;=90,"ผ่าน","ไม่ผ่าน"))</f>
        <v/>
      </c>
      <c r="L576" s="8">
        <f>IF(K576="ผ่าน",1,0)</f>
        <v/>
      </c>
      <c r="N576" s="7" t="n"/>
    </row>
    <row r="577">
      <c r="F577" s="7" t="n"/>
      <c r="G577" s="7" t="n"/>
      <c r="H577" s="8">
        <f>IF(OR(F577="",G577=""),"",MAX(0,ROUND((G577-F577)*1440,0)))</f>
        <v/>
      </c>
      <c r="I577" s="8">
        <f>IF(F577="","ไม่ครบ","ครบ")</f>
        <v/>
      </c>
      <c r="J577" s="8">
        <f>IF(G577="","ไม่ครบ","ครบ")</f>
        <v/>
      </c>
      <c r="K577" s="8">
        <f>IF(OR(F577="",G577=""),"ไม่ผ่าน",IF(H577&gt;=90,"ผ่าน","ไม่ผ่าน"))</f>
        <v/>
      </c>
      <c r="L577" s="8">
        <f>IF(K577="ผ่าน",1,0)</f>
        <v/>
      </c>
      <c r="N577" s="7" t="n"/>
    </row>
    <row r="578">
      <c r="F578" s="7" t="n"/>
      <c r="G578" s="7" t="n"/>
      <c r="H578" s="8">
        <f>IF(OR(F578="",G578=""),"",MAX(0,ROUND((G578-F578)*1440,0)))</f>
        <v/>
      </c>
      <c r="I578" s="8">
        <f>IF(F578="","ไม่ครบ","ครบ")</f>
        <v/>
      </c>
      <c r="J578" s="8">
        <f>IF(G578="","ไม่ครบ","ครบ")</f>
        <v/>
      </c>
      <c r="K578" s="8">
        <f>IF(OR(F578="",G578=""),"ไม่ผ่าน",IF(H578&gt;=90,"ผ่าน","ไม่ผ่าน"))</f>
        <v/>
      </c>
      <c r="L578" s="8">
        <f>IF(K578="ผ่าน",1,0)</f>
        <v/>
      </c>
      <c r="N578" s="7" t="n"/>
    </row>
    <row r="579">
      <c r="F579" s="7" t="n"/>
      <c r="G579" s="7" t="n"/>
      <c r="H579" s="8">
        <f>IF(OR(F579="",G579=""),"",MAX(0,ROUND((G579-F579)*1440,0)))</f>
        <v/>
      </c>
      <c r="I579" s="8">
        <f>IF(F579="","ไม่ครบ","ครบ")</f>
        <v/>
      </c>
      <c r="J579" s="8">
        <f>IF(G579="","ไม่ครบ","ครบ")</f>
        <v/>
      </c>
      <c r="K579" s="8">
        <f>IF(OR(F579="",G579=""),"ไม่ผ่าน",IF(H579&gt;=90,"ผ่าน","ไม่ผ่าน"))</f>
        <v/>
      </c>
      <c r="L579" s="8">
        <f>IF(K579="ผ่าน",1,0)</f>
        <v/>
      </c>
      <c r="N579" s="7" t="n"/>
    </row>
    <row r="580">
      <c r="F580" s="7" t="n"/>
      <c r="G580" s="7" t="n"/>
      <c r="H580" s="8">
        <f>IF(OR(F580="",G580=""),"",MAX(0,ROUND((G580-F580)*1440,0)))</f>
        <v/>
      </c>
      <c r="I580" s="8">
        <f>IF(F580="","ไม่ครบ","ครบ")</f>
        <v/>
      </c>
      <c r="J580" s="8">
        <f>IF(G580="","ไม่ครบ","ครบ")</f>
        <v/>
      </c>
      <c r="K580" s="8">
        <f>IF(OR(F580="",G580=""),"ไม่ผ่าน",IF(H580&gt;=90,"ผ่าน","ไม่ผ่าน"))</f>
        <v/>
      </c>
      <c r="L580" s="8">
        <f>IF(K580="ผ่าน",1,0)</f>
        <v/>
      </c>
      <c r="N580" s="7" t="n"/>
    </row>
    <row r="581">
      <c r="F581" s="7" t="n"/>
      <c r="G581" s="7" t="n"/>
      <c r="H581" s="8">
        <f>IF(OR(F581="",G581=""),"",MAX(0,ROUND((G581-F581)*1440,0)))</f>
        <v/>
      </c>
      <c r="I581" s="8">
        <f>IF(F581="","ไม่ครบ","ครบ")</f>
        <v/>
      </c>
      <c r="J581" s="8">
        <f>IF(G581="","ไม่ครบ","ครบ")</f>
        <v/>
      </c>
      <c r="K581" s="8">
        <f>IF(OR(F581="",G581=""),"ไม่ผ่าน",IF(H581&gt;=90,"ผ่าน","ไม่ผ่าน"))</f>
        <v/>
      </c>
      <c r="L581" s="8">
        <f>IF(K581="ผ่าน",1,0)</f>
        <v/>
      </c>
      <c r="N581" s="7" t="n"/>
    </row>
    <row r="582">
      <c r="F582" s="7" t="n"/>
      <c r="G582" s="7" t="n"/>
      <c r="H582" s="8">
        <f>IF(OR(F582="",G582=""),"",MAX(0,ROUND((G582-F582)*1440,0)))</f>
        <v/>
      </c>
      <c r="I582" s="8">
        <f>IF(F582="","ไม่ครบ","ครบ")</f>
        <v/>
      </c>
      <c r="J582" s="8">
        <f>IF(G582="","ไม่ครบ","ครบ")</f>
        <v/>
      </c>
      <c r="K582" s="8">
        <f>IF(OR(F582="",G582=""),"ไม่ผ่าน",IF(H582&gt;=90,"ผ่าน","ไม่ผ่าน"))</f>
        <v/>
      </c>
      <c r="L582" s="8">
        <f>IF(K582="ผ่าน",1,0)</f>
        <v/>
      </c>
      <c r="N582" s="7" t="n"/>
    </row>
    <row r="583">
      <c r="F583" s="7" t="n"/>
      <c r="G583" s="7" t="n"/>
      <c r="H583" s="8">
        <f>IF(OR(F583="",G583=""),"",MAX(0,ROUND((G583-F583)*1440,0)))</f>
        <v/>
      </c>
      <c r="I583" s="8">
        <f>IF(F583="","ไม่ครบ","ครบ")</f>
        <v/>
      </c>
      <c r="J583" s="8">
        <f>IF(G583="","ไม่ครบ","ครบ")</f>
        <v/>
      </c>
      <c r="K583" s="8">
        <f>IF(OR(F583="",G583=""),"ไม่ผ่าน",IF(H583&gt;=90,"ผ่าน","ไม่ผ่าน"))</f>
        <v/>
      </c>
      <c r="L583" s="8">
        <f>IF(K583="ผ่าน",1,0)</f>
        <v/>
      </c>
      <c r="N583" s="7" t="n"/>
    </row>
    <row r="584">
      <c r="F584" s="7" t="n"/>
      <c r="G584" s="7" t="n"/>
      <c r="H584" s="8">
        <f>IF(OR(F584="",G584=""),"",MAX(0,ROUND((G584-F584)*1440,0)))</f>
        <v/>
      </c>
      <c r="I584" s="8">
        <f>IF(F584="","ไม่ครบ","ครบ")</f>
        <v/>
      </c>
      <c r="J584" s="8">
        <f>IF(G584="","ไม่ครบ","ครบ")</f>
        <v/>
      </c>
      <c r="K584" s="8">
        <f>IF(OR(F584="",G584=""),"ไม่ผ่าน",IF(H584&gt;=90,"ผ่าน","ไม่ผ่าน"))</f>
        <v/>
      </c>
      <c r="L584" s="8">
        <f>IF(K584="ผ่าน",1,0)</f>
        <v/>
      </c>
      <c r="N584" s="7" t="n"/>
    </row>
    <row r="585">
      <c r="F585" s="7" t="n"/>
      <c r="G585" s="7" t="n"/>
      <c r="H585" s="8">
        <f>IF(OR(F585="",G585=""),"",MAX(0,ROUND((G585-F585)*1440,0)))</f>
        <v/>
      </c>
      <c r="I585" s="8">
        <f>IF(F585="","ไม่ครบ","ครบ")</f>
        <v/>
      </c>
      <c r="J585" s="8">
        <f>IF(G585="","ไม่ครบ","ครบ")</f>
        <v/>
      </c>
      <c r="K585" s="8">
        <f>IF(OR(F585="",G585=""),"ไม่ผ่าน",IF(H585&gt;=90,"ผ่าน","ไม่ผ่าน"))</f>
        <v/>
      </c>
      <c r="L585" s="8">
        <f>IF(K585="ผ่าน",1,0)</f>
        <v/>
      </c>
      <c r="N585" s="7" t="n"/>
    </row>
    <row r="586">
      <c r="F586" s="7" t="n"/>
      <c r="G586" s="7" t="n"/>
      <c r="H586" s="8">
        <f>IF(OR(F586="",G586=""),"",MAX(0,ROUND((G586-F586)*1440,0)))</f>
        <v/>
      </c>
      <c r="I586" s="8">
        <f>IF(F586="","ไม่ครบ","ครบ")</f>
        <v/>
      </c>
      <c r="J586" s="8">
        <f>IF(G586="","ไม่ครบ","ครบ")</f>
        <v/>
      </c>
      <c r="K586" s="8">
        <f>IF(OR(F586="",G586=""),"ไม่ผ่าน",IF(H586&gt;=90,"ผ่าน","ไม่ผ่าน"))</f>
        <v/>
      </c>
      <c r="L586" s="8">
        <f>IF(K586="ผ่าน",1,0)</f>
        <v/>
      </c>
      <c r="N586" s="7" t="n"/>
    </row>
    <row r="587">
      <c r="F587" s="7" t="n"/>
      <c r="G587" s="7" t="n"/>
      <c r="H587" s="8">
        <f>IF(OR(F587="",G587=""),"",MAX(0,ROUND((G587-F587)*1440,0)))</f>
        <v/>
      </c>
      <c r="I587" s="8">
        <f>IF(F587="","ไม่ครบ","ครบ")</f>
        <v/>
      </c>
      <c r="J587" s="8">
        <f>IF(G587="","ไม่ครบ","ครบ")</f>
        <v/>
      </c>
      <c r="K587" s="8">
        <f>IF(OR(F587="",G587=""),"ไม่ผ่าน",IF(H587&gt;=90,"ผ่าน","ไม่ผ่าน"))</f>
        <v/>
      </c>
      <c r="L587" s="8">
        <f>IF(K587="ผ่าน",1,0)</f>
        <v/>
      </c>
      <c r="N587" s="7" t="n"/>
    </row>
    <row r="588">
      <c r="F588" s="7" t="n"/>
      <c r="G588" s="7" t="n"/>
      <c r="H588" s="8">
        <f>IF(OR(F588="",G588=""),"",MAX(0,ROUND((G588-F588)*1440,0)))</f>
        <v/>
      </c>
      <c r="I588" s="8">
        <f>IF(F588="","ไม่ครบ","ครบ")</f>
        <v/>
      </c>
      <c r="J588" s="8">
        <f>IF(G588="","ไม่ครบ","ครบ")</f>
        <v/>
      </c>
      <c r="K588" s="8">
        <f>IF(OR(F588="",G588=""),"ไม่ผ่าน",IF(H588&gt;=90,"ผ่าน","ไม่ผ่าน"))</f>
        <v/>
      </c>
      <c r="L588" s="8">
        <f>IF(K588="ผ่าน",1,0)</f>
        <v/>
      </c>
      <c r="N588" s="7" t="n"/>
    </row>
    <row r="589">
      <c r="F589" s="7" t="n"/>
      <c r="G589" s="7" t="n"/>
      <c r="H589" s="8">
        <f>IF(OR(F589="",G589=""),"",MAX(0,ROUND((G589-F589)*1440,0)))</f>
        <v/>
      </c>
      <c r="I589" s="8">
        <f>IF(F589="","ไม่ครบ","ครบ")</f>
        <v/>
      </c>
      <c r="J589" s="8">
        <f>IF(G589="","ไม่ครบ","ครบ")</f>
        <v/>
      </c>
      <c r="K589" s="8">
        <f>IF(OR(F589="",G589=""),"ไม่ผ่าน",IF(H589&gt;=90,"ผ่าน","ไม่ผ่าน"))</f>
        <v/>
      </c>
      <c r="L589" s="8">
        <f>IF(K589="ผ่าน",1,0)</f>
        <v/>
      </c>
      <c r="N589" s="7" t="n"/>
    </row>
    <row r="590">
      <c r="F590" s="7" t="n"/>
      <c r="G590" s="7" t="n"/>
      <c r="H590" s="8">
        <f>IF(OR(F590="",G590=""),"",MAX(0,ROUND((G590-F590)*1440,0)))</f>
        <v/>
      </c>
      <c r="I590" s="8">
        <f>IF(F590="","ไม่ครบ","ครบ")</f>
        <v/>
      </c>
      <c r="J590" s="8">
        <f>IF(G590="","ไม่ครบ","ครบ")</f>
        <v/>
      </c>
      <c r="K590" s="8">
        <f>IF(OR(F590="",G590=""),"ไม่ผ่าน",IF(H590&gt;=90,"ผ่าน","ไม่ผ่าน"))</f>
        <v/>
      </c>
      <c r="L590" s="8">
        <f>IF(K590="ผ่าน",1,0)</f>
        <v/>
      </c>
      <c r="N590" s="7" t="n"/>
    </row>
    <row r="591">
      <c r="F591" s="7" t="n"/>
      <c r="G591" s="7" t="n"/>
      <c r="H591" s="8">
        <f>IF(OR(F591="",G591=""),"",MAX(0,ROUND((G591-F591)*1440,0)))</f>
        <v/>
      </c>
      <c r="I591" s="8">
        <f>IF(F591="","ไม่ครบ","ครบ")</f>
        <v/>
      </c>
      <c r="J591" s="8">
        <f>IF(G591="","ไม่ครบ","ครบ")</f>
        <v/>
      </c>
      <c r="K591" s="8">
        <f>IF(OR(F591="",G591=""),"ไม่ผ่าน",IF(H591&gt;=90,"ผ่าน","ไม่ผ่าน"))</f>
        <v/>
      </c>
      <c r="L591" s="8">
        <f>IF(K591="ผ่าน",1,0)</f>
        <v/>
      </c>
      <c r="N591" s="7" t="n"/>
    </row>
    <row r="592">
      <c r="F592" s="7" t="n"/>
      <c r="G592" s="7" t="n"/>
      <c r="H592" s="8">
        <f>IF(OR(F592="",G592=""),"",MAX(0,ROUND((G592-F592)*1440,0)))</f>
        <v/>
      </c>
      <c r="I592" s="8">
        <f>IF(F592="","ไม่ครบ","ครบ")</f>
        <v/>
      </c>
      <c r="J592" s="8">
        <f>IF(G592="","ไม่ครบ","ครบ")</f>
        <v/>
      </c>
      <c r="K592" s="8">
        <f>IF(OR(F592="",G592=""),"ไม่ผ่าน",IF(H592&gt;=90,"ผ่าน","ไม่ผ่าน"))</f>
        <v/>
      </c>
      <c r="L592" s="8">
        <f>IF(K592="ผ่าน",1,0)</f>
        <v/>
      </c>
      <c r="N592" s="7" t="n"/>
    </row>
    <row r="593">
      <c r="F593" s="7" t="n"/>
      <c r="G593" s="7" t="n"/>
      <c r="H593" s="8">
        <f>IF(OR(F593="",G593=""),"",MAX(0,ROUND((G593-F593)*1440,0)))</f>
        <v/>
      </c>
      <c r="I593" s="8">
        <f>IF(F593="","ไม่ครบ","ครบ")</f>
        <v/>
      </c>
      <c r="J593" s="8">
        <f>IF(G593="","ไม่ครบ","ครบ")</f>
        <v/>
      </c>
      <c r="K593" s="8">
        <f>IF(OR(F593="",G593=""),"ไม่ผ่าน",IF(H593&gt;=90,"ผ่าน","ไม่ผ่าน"))</f>
        <v/>
      </c>
      <c r="L593" s="8">
        <f>IF(K593="ผ่าน",1,0)</f>
        <v/>
      </c>
      <c r="N593" s="7" t="n"/>
    </row>
    <row r="594">
      <c r="F594" s="7" t="n"/>
      <c r="G594" s="7" t="n"/>
      <c r="H594" s="8">
        <f>IF(OR(F594="",G594=""),"",MAX(0,ROUND((G594-F594)*1440,0)))</f>
        <v/>
      </c>
      <c r="I594" s="8">
        <f>IF(F594="","ไม่ครบ","ครบ")</f>
        <v/>
      </c>
      <c r="J594" s="8">
        <f>IF(G594="","ไม่ครบ","ครบ")</f>
        <v/>
      </c>
      <c r="K594" s="8">
        <f>IF(OR(F594="",G594=""),"ไม่ผ่าน",IF(H594&gt;=90,"ผ่าน","ไม่ผ่าน"))</f>
        <v/>
      </c>
      <c r="L594" s="8">
        <f>IF(K594="ผ่าน",1,0)</f>
        <v/>
      </c>
      <c r="N594" s="7" t="n"/>
    </row>
    <row r="595">
      <c r="F595" s="7" t="n"/>
      <c r="G595" s="7" t="n"/>
      <c r="H595" s="8">
        <f>IF(OR(F595="",G595=""),"",MAX(0,ROUND((G595-F595)*1440,0)))</f>
        <v/>
      </c>
      <c r="I595" s="8">
        <f>IF(F595="","ไม่ครบ","ครบ")</f>
        <v/>
      </c>
      <c r="J595" s="8">
        <f>IF(G595="","ไม่ครบ","ครบ")</f>
        <v/>
      </c>
      <c r="K595" s="8">
        <f>IF(OR(F595="",G595=""),"ไม่ผ่าน",IF(H595&gt;=90,"ผ่าน","ไม่ผ่าน"))</f>
        <v/>
      </c>
      <c r="L595" s="8">
        <f>IF(K595="ผ่าน",1,0)</f>
        <v/>
      </c>
      <c r="N595" s="7" t="n"/>
    </row>
    <row r="596">
      <c r="F596" s="7" t="n"/>
      <c r="G596" s="7" t="n"/>
      <c r="H596" s="8">
        <f>IF(OR(F596="",G596=""),"",MAX(0,ROUND((G596-F596)*1440,0)))</f>
        <v/>
      </c>
      <c r="I596" s="8">
        <f>IF(F596="","ไม่ครบ","ครบ")</f>
        <v/>
      </c>
      <c r="J596" s="8">
        <f>IF(G596="","ไม่ครบ","ครบ")</f>
        <v/>
      </c>
      <c r="K596" s="8">
        <f>IF(OR(F596="",G596=""),"ไม่ผ่าน",IF(H596&gt;=90,"ผ่าน","ไม่ผ่าน"))</f>
        <v/>
      </c>
      <c r="L596" s="8">
        <f>IF(K596="ผ่าน",1,0)</f>
        <v/>
      </c>
      <c r="N596" s="7" t="n"/>
    </row>
    <row r="597">
      <c r="F597" s="7" t="n"/>
      <c r="G597" s="7" t="n"/>
      <c r="H597" s="8">
        <f>IF(OR(F597="",G597=""),"",MAX(0,ROUND((G597-F597)*1440,0)))</f>
        <v/>
      </c>
      <c r="I597" s="8">
        <f>IF(F597="","ไม่ครบ","ครบ")</f>
        <v/>
      </c>
      <c r="J597" s="8">
        <f>IF(G597="","ไม่ครบ","ครบ")</f>
        <v/>
      </c>
      <c r="K597" s="8">
        <f>IF(OR(F597="",G597=""),"ไม่ผ่าน",IF(H597&gt;=90,"ผ่าน","ไม่ผ่าน"))</f>
        <v/>
      </c>
      <c r="L597" s="8">
        <f>IF(K597="ผ่าน",1,0)</f>
        <v/>
      </c>
      <c r="N597" s="7" t="n"/>
    </row>
    <row r="598">
      <c r="F598" s="7" t="n"/>
      <c r="G598" s="7" t="n"/>
      <c r="H598" s="8">
        <f>IF(OR(F598="",G598=""),"",MAX(0,ROUND((G598-F598)*1440,0)))</f>
        <v/>
      </c>
      <c r="I598" s="8">
        <f>IF(F598="","ไม่ครบ","ครบ")</f>
        <v/>
      </c>
      <c r="J598" s="8">
        <f>IF(G598="","ไม่ครบ","ครบ")</f>
        <v/>
      </c>
      <c r="K598" s="8">
        <f>IF(OR(F598="",G598=""),"ไม่ผ่าน",IF(H598&gt;=90,"ผ่าน","ไม่ผ่าน"))</f>
        <v/>
      </c>
      <c r="L598" s="8">
        <f>IF(K598="ผ่าน",1,0)</f>
        <v/>
      </c>
      <c r="N598" s="7" t="n"/>
    </row>
    <row r="599">
      <c r="F599" s="7" t="n"/>
      <c r="G599" s="7" t="n"/>
      <c r="H599" s="8">
        <f>IF(OR(F599="",G599=""),"",MAX(0,ROUND((G599-F599)*1440,0)))</f>
        <v/>
      </c>
      <c r="I599" s="8">
        <f>IF(F599="","ไม่ครบ","ครบ")</f>
        <v/>
      </c>
      <c r="J599" s="8">
        <f>IF(G599="","ไม่ครบ","ครบ")</f>
        <v/>
      </c>
      <c r="K599" s="8">
        <f>IF(OR(F599="",G599=""),"ไม่ผ่าน",IF(H599&gt;=90,"ผ่าน","ไม่ผ่าน"))</f>
        <v/>
      </c>
      <c r="L599" s="8">
        <f>IF(K599="ผ่าน",1,0)</f>
        <v/>
      </c>
      <c r="N599" s="7" t="n"/>
    </row>
    <row r="600">
      <c r="F600" s="7" t="n"/>
      <c r="G600" s="7" t="n"/>
      <c r="H600" s="8">
        <f>IF(OR(F600="",G600=""),"",MAX(0,ROUND((G600-F600)*1440,0)))</f>
        <v/>
      </c>
      <c r="I600" s="8">
        <f>IF(F600="","ไม่ครบ","ครบ")</f>
        <v/>
      </c>
      <c r="J600" s="8">
        <f>IF(G600="","ไม่ครบ","ครบ")</f>
        <v/>
      </c>
      <c r="K600" s="8">
        <f>IF(OR(F600="",G600=""),"ไม่ผ่าน",IF(H600&gt;=90,"ผ่าน","ไม่ผ่าน"))</f>
        <v/>
      </c>
      <c r="L600" s="8">
        <f>IF(K600="ผ่าน",1,0)</f>
        <v/>
      </c>
      <c r="N600" s="7" t="n"/>
    </row>
    <row r="601">
      <c r="F601" s="7" t="n"/>
      <c r="G601" s="7" t="n"/>
      <c r="H601" s="8">
        <f>IF(OR(F601="",G601=""),"",MAX(0,ROUND((G601-F601)*1440,0)))</f>
        <v/>
      </c>
      <c r="I601" s="8">
        <f>IF(F601="","ไม่ครบ","ครบ")</f>
        <v/>
      </c>
      <c r="J601" s="8">
        <f>IF(G601="","ไม่ครบ","ครบ")</f>
        <v/>
      </c>
      <c r="K601" s="8">
        <f>IF(OR(F601="",G601=""),"ไม่ผ่าน",IF(H601&gt;=90,"ผ่าน","ไม่ผ่าน"))</f>
        <v/>
      </c>
      <c r="L601" s="8">
        <f>IF(K601="ผ่าน",1,0)</f>
        <v/>
      </c>
      <c r="N601" s="7" t="n"/>
    </row>
    <row r="602">
      <c r="F602" s="7" t="n"/>
      <c r="G602" s="7" t="n"/>
      <c r="H602" s="8">
        <f>IF(OR(F602="",G602=""),"",MAX(0,ROUND((G602-F602)*1440,0)))</f>
        <v/>
      </c>
      <c r="I602" s="8">
        <f>IF(F602="","ไม่ครบ","ครบ")</f>
        <v/>
      </c>
      <c r="J602" s="8">
        <f>IF(G602="","ไม่ครบ","ครบ")</f>
        <v/>
      </c>
      <c r="K602" s="8">
        <f>IF(OR(F602="",G602=""),"ไม่ผ่าน",IF(H602&gt;=90,"ผ่าน","ไม่ผ่าน"))</f>
        <v/>
      </c>
      <c r="L602" s="8">
        <f>IF(K602="ผ่าน",1,0)</f>
        <v/>
      </c>
      <c r="N602" s="7" t="n"/>
    </row>
    <row r="603">
      <c r="F603" s="7" t="n"/>
      <c r="G603" s="7" t="n"/>
      <c r="H603" s="8">
        <f>IF(OR(F603="",G603=""),"",MAX(0,ROUND((G603-F603)*1440,0)))</f>
        <v/>
      </c>
      <c r="I603" s="8">
        <f>IF(F603="","ไม่ครบ","ครบ")</f>
        <v/>
      </c>
      <c r="J603" s="8">
        <f>IF(G603="","ไม่ครบ","ครบ")</f>
        <v/>
      </c>
      <c r="K603" s="8">
        <f>IF(OR(F603="",G603=""),"ไม่ผ่าน",IF(H603&gt;=90,"ผ่าน","ไม่ผ่าน"))</f>
        <v/>
      </c>
      <c r="L603" s="8">
        <f>IF(K603="ผ่าน",1,0)</f>
        <v/>
      </c>
      <c r="N603" s="7" t="n"/>
    </row>
    <row r="604">
      <c r="F604" s="7" t="n"/>
      <c r="G604" s="7" t="n"/>
      <c r="H604" s="8">
        <f>IF(OR(F604="",G604=""),"",MAX(0,ROUND((G604-F604)*1440,0)))</f>
        <v/>
      </c>
      <c r="I604" s="8">
        <f>IF(F604="","ไม่ครบ","ครบ")</f>
        <v/>
      </c>
      <c r="J604" s="8">
        <f>IF(G604="","ไม่ครบ","ครบ")</f>
        <v/>
      </c>
      <c r="K604" s="8">
        <f>IF(OR(F604="",G604=""),"ไม่ผ่าน",IF(H604&gt;=90,"ผ่าน","ไม่ผ่าน"))</f>
        <v/>
      </c>
      <c r="L604" s="8">
        <f>IF(K604="ผ่าน",1,0)</f>
        <v/>
      </c>
      <c r="N604" s="7" t="n"/>
    </row>
    <row r="605">
      <c r="F605" s="7" t="n"/>
      <c r="G605" s="7" t="n"/>
      <c r="H605" s="8">
        <f>IF(OR(F605="",G605=""),"",MAX(0,ROUND((G605-F605)*1440,0)))</f>
        <v/>
      </c>
      <c r="I605" s="8">
        <f>IF(F605="","ไม่ครบ","ครบ")</f>
        <v/>
      </c>
      <c r="J605" s="8">
        <f>IF(G605="","ไม่ครบ","ครบ")</f>
        <v/>
      </c>
      <c r="K605" s="8">
        <f>IF(OR(F605="",G605=""),"ไม่ผ่าน",IF(H605&gt;=90,"ผ่าน","ไม่ผ่าน"))</f>
        <v/>
      </c>
      <c r="L605" s="8">
        <f>IF(K605="ผ่าน",1,0)</f>
        <v/>
      </c>
      <c r="N605" s="7" t="n"/>
    </row>
    <row r="606">
      <c r="F606" s="7" t="n"/>
      <c r="G606" s="7" t="n"/>
      <c r="H606" s="8">
        <f>IF(OR(F606="",G606=""),"",MAX(0,ROUND((G606-F606)*1440,0)))</f>
        <v/>
      </c>
      <c r="I606" s="8">
        <f>IF(F606="","ไม่ครบ","ครบ")</f>
        <v/>
      </c>
      <c r="J606" s="8">
        <f>IF(G606="","ไม่ครบ","ครบ")</f>
        <v/>
      </c>
      <c r="K606" s="8">
        <f>IF(OR(F606="",G606=""),"ไม่ผ่าน",IF(H606&gt;=90,"ผ่าน","ไม่ผ่าน"))</f>
        <v/>
      </c>
      <c r="L606" s="8">
        <f>IF(K606="ผ่าน",1,0)</f>
        <v/>
      </c>
      <c r="N606" s="7" t="n"/>
    </row>
    <row r="607">
      <c r="F607" s="7" t="n"/>
      <c r="G607" s="7" t="n"/>
      <c r="H607" s="8">
        <f>IF(OR(F607="",G607=""),"",MAX(0,ROUND((G607-F607)*1440,0)))</f>
        <v/>
      </c>
      <c r="I607" s="8">
        <f>IF(F607="","ไม่ครบ","ครบ")</f>
        <v/>
      </c>
      <c r="J607" s="8">
        <f>IF(G607="","ไม่ครบ","ครบ")</f>
        <v/>
      </c>
      <c r="K607" s="8">
        <f>IF(OR(F607="",G607=""),"ไม่ผ่าน",IF(H607&gt;=90,"ผ่าน","ไม่ผ่าน"))</f>
        <v/>
      </c>
      <c r="L607" s="8">
        <f>IF(K607="ผ่าน",1,0)</f>
        <v/>
      </c>
      <c r="N607" s="7" t="n"/>
    </row>
    <row r="608">
      <c r="F608" s="7" t="n"/>
      <c r="G608" s="7" t="n"/>
      <c r="H608" s="8">
        <f>IF(OR(F608="",G608=""),"",MAX(0,ROUND((G608-F608)*1440,0)))</f>
        <v/>
      </c>
      <c r="I608" s="8">
        <f>IF(F608="","ไม่ครบ","ครบ")</f>
        <v/>
      </c>
      <c r="J608" s="8">
        <f>IF(G608="","ไม่ครบ","ครบ")</f>
        <v/>
      </c>
      <c r="K608" s="8">
        <f>IF(OR(F608="",G608=""),"ไม่ผ่าน",IF(H608&gt;=90,"ผ่าน","ไม่ผ่าน"))</f>
        <v/>
      </c>
      <c r="L608" s="8">
        <f>IF(K608="ผ่าน",1,0)</f>
        <v/>
      </c>
      <c r="N608" s="7" t="n"/>
    </row>
    <row r="609">
      <c r="F609" s="7" t="n"/>
      <c r="G609" s="7" t="n"/>
      <c r="H609" s="8">
        <f>IF(OR(F609="",G609=""),"",MAX(0,ROUND((G609-F609)*1440,0)))</f>
        <v/>
      </c>
      <c r="I609" s="8">
        <f>IF(F609="","ไม่ครบ","ครบ")</f>
        <v/>
      </c>
      <c r="J609" s="8">
        <f>IF(G609="","ไม่ครบ","ครบ")</f>
        <v/>
      </c>
      <c r="K609" s="8">
        <f>IF(OR(F609="",G609=""),"ไม่ผ่าน",IF(H609&gt;=90,"ผ่าน","ไม่ผ่าน"))</f>
        <v/>
      </c>
      <c r="L609" s="8">
        <f>IF(K609="ผ่าน",1,0)</f>
        <v/>
      </c>
      <c r="N609" s="7" t="n"/>
    </row>
    <row r="610">
      <c r="F610" s="7" t="n"/>
      <c r="G610" s="7" t="n"/>
      <c r="H610" s="8">
        <f>IF(OR(F610="",G610=""),"",MAX(0,ROUND((G610-F610)*1440,0)))</f>
        <v/>
      </c>
      <c r="I610" s="8">
        <f>IF(F610="","ไม่ครบ","ครบ")</f>
        <v/>
      </c>
      <c r="J610" s="8">
        <f>IF(G610="","ไม่ครบ","ครบ")</f>
        <v/>
      </c>
      <c r="K610" s="8">
        <f>IF(OR(F610="",G610=""),"ไม่ผ่าน",IF(H610&gt;=90,"ผ่าน","ไม่ผ่าน"))</f>
        <v/>
      </c>
      <c r="L610" s="8">
        <f>IF(K610="ผ่าน",1,0)</f>
        <v/>
      </c>
      <c r="N610" s="7" t="n"/>
    </row>
    <row r="611">
      <c r="F611" s="7" t="n"/>
      <c r="G611" s="7" t="n"/>
      <c r="H611" s="8">
        <f>IF(OR(F611="",G611=""),"",MAX(0,ROUND((G611-F611)*1440,0)))</f>
        <v/>
      </c>
      <c r="I611" s="8">
        <f>IF(F611="","ไม่ครบ","ครบ")</f>
        <v/>
      </c>
      <c r="J611" s="8">
        <f>IF(G611="","ไม่ครบ","ครบ")</f>
        <v/>
      </c>
      <c r="K611" s="8">
        <f>IF(OR(F611="",G611=""),"ไม่ผ่าน",IF(H611&gt;=90,"ผ่าน","ไม่ผ่าน"))</f>
        <v/>
      </c>
      <c r="L611" s="8">
        <f>IF(K611="ผ่าน",1,0)</f>
        <v/>
      </c>
      <c r="N611" s="7" t="n"/>
    </row>
    <row r="612">
      <c r="F612" s="7" t="n"/>
      <c r="G612" s="7" t="n"/>
      <c r="H612" s="8">
        <f>IF(OR(F612="",G612=""),"",MAX(0,ROUND((G612-F612)*1440,0)))</f>
        <v/>
      </c>
      <c r="I612" s="8">
        <f>IF(F612="","ไม่ครบ","ครบ")</f>
        <v/>
      </c>
      <c r="J612" s="8">
        <f>IF(G612="","ไม่ครบ","ครบ")</f>
        <v/>
      </c>
      <c r="K612" s="8">
        <f>IF(OR(F612="",G612=""),"ไม่ผ่าน",IF(H612&gt;=90,"ผ่าน","ไม่ผ่าน"))</f>
        <v/>
      </c>
      <c r="L612" s="8">
        <f>IF(K612="ผ่าน",1,0)</f>
        <v/>
      </c>
      <c r="N612" s="7" t="n"/>
    </row>
    <row r="613">
      <c r="F613" s="7" t="n"/>
      <c r="G613" s="7" t="n"/>
      <c r="H613" s="8">
        <f>IF(OR(F613="",G613=""),"",MAX(0,ROUND((G613-F613)*1440,0)))</f>
        <v/>
      </c>
      <c r="I613" s="8">
        <f>IF(F613="","ไม่ครบ","ครบ")</f>
        <v/>
      </c>
      <c r="J613" s="8">
        <f>IF(G613="","ไม่ครบ","ครบ")</f>
        <v/>
      </c>
      <c r="K613" s="8">
        <f>IF(OR(F613="",G613=""),"ไม่ผ่าน",IF(H613&gt;=90,"ผ่าน","ไม่ผ่าน"))</f>
        <v/>
      </c>
      <c r="L613" s="8">
        <f>IF(K613="ผ่าน",1,0)</f>
        <v/>
      </c>
      <c r="N613" s="7" t="n"/>
    </row>
    <row r="614">
      <c r="F614" s="7" t="n"/>
      <c r="G614" s="7" t="n"/>
      <c r="H614" s="8">
        <f>IF(OR(F614="",G614=""),"",MAX(0,ROUND((G614-F614)*1440,0)))</f>
        <v/>
      </c>
      <c r="I614" s="8">
        <f>IF(F614="","ไม่ครบ","ครบ")</f>
        <v/>
      </c>
      <c r="J614" s="8">
        <f>IF(G614="","ไม่ครบ","ครบ")</f>
        <v/>
      </c>
      <c r="K614" s="8">
        <f>IF(OR(F614="",G614=""),"ไม่ผ่าน",IF(H614&gt;=90,"ผ่าน","ไม่ผ่าน"))</f>
        <v/>
      </c>
      <c r="L614" s="8">
        <f>IF(K614="ผ่าน",1,0)</f>
        <v/>
      </c>
      <c r="N614" s="7" t="n"/>
    </row>
    <row r="615">
      <c r="F615" s="7" t="n"/>
      <c r="G615" s="7" t="n"/>
      <c r="H615" s="8">
        <f>IF(OR(F615="",G615=""),"",MAX(0,ROUND((G615-F615)*1440,0)))</f>
        <v/>
      </c>
      <c r="I615" s="8">
        <f>IF(F615="","ไม่ครบ","ครบ")</f>
        <v/>
      </c>
      <c r="J615" s="8">
        <f>IF(G615="","ไม่ครบ","ครบ")</f>
        <v/>
      </c>
      <c r="K615" s="8">
        <f>IF(OR(F615="",G615=""),"ไม่ผ่าน",IF(H615&gt;=90,"ผ่าน","ไม่ผ่าน"))</f>
        <v/>
      </c>
      <c r="L615" s="8">
        <f>IF(K615="ผ่าน",1,0)</f>
        <v/>
      </c>
      <c r="N615" s="7" t="n"/>
    </row>
    <row r="616">
      <c r="F616" s="7" t="n"/>
      <c r="G616" s="7" t="n"/>
      <c r="H616" s="8">
        <f>IF(OR(F616="",G616=""),"",MAX(0,ROUND((G616-F616)*1440,0)))</f>
        <v/>
      </c>
      <c r="I616" s="8">
        <f>IF(F616="","ไม่ครบ","ครบ")</f>
        <v/>
      </c>
      <c r="J616" s="8">
        <f>IF(G616="","ไม่ครบ","ครบ")</f>
        <v/>
      </c>
      <c r="K616" s="8">
        <f>IF(OR(F616="",G616=""),"ไม่ผ่าน",IF(H616&gt;=90,"ผ่าน","ไม่ผ่าน"))</f>
        <v/>
      </c>
      <c r="L616" s="8">
        <f>IF(K616="ผ่าน",1,0)</f>
        <v/>
      </c>
      <c r="N616" s="7" t="n"/>
    </row>
    <row r="617">
      <c r="F617" s="7" t="n"/>
      <c r="G617" s="7" t="n"/>
      <c r="H617" s="8">
        <f>IF(OR(F617="",G617=""),"",MAX(0,ROUND((G617-F617)*1440,0)))</f>
        <v/>
      </c>
      <c r="I617" s="8">
        <f>IF(F617="","ไม่ครบ","ครบ")</f>
        <v/>
      </c>
      <c r="J617" s="8">
        <f>IF(G617="","ไม่ครบ","ครบ")</f>
        <v/>
      </c>
      <c r="K617" s="8">
        <f>IF(OR(F617="",G617=""),"ไม่ผ่าน",IF(H617&gt;=90,"ผ่าน","ไม่ผ่าน"))</f>
        <v/>
      </c>
      <c r="L617" s="8">
        <f>IF(K617="ผ่าน",1,0)</f>
        <v/>
      </c>
      <c r="N617" s="7" t="n"/>
    </row>
    <row r="618">
      <c r="F618" s="7" t="n"/>
      <c r="G618" s="7" t="n"/>
      <c r="H618" s="8">
        <f>IF(OR(F618="",G618=""),"",MAX(0,ROUND((G618-F618)*1440,0)))</f>
        <v/>
      </c>
      <c r="I618" s="8">
        <f>IF(F618="","ไม่ครบ","ครบ")</f>
        <v/>
      </c>
      <c r="J618" s="8">
        <f>IF(G618="","ไม่ครบ","ครบ")</f>
        <v/>
      </c>
      <c r="K618" s="8">
        <f>IF(OR(F618="",G618=""),"ไม่ผ่าน",IF(H618&gt;=90,"ผ่าน","ไม่ผ่าน"))</f>
        <v/>
      </c>
      <c r="L618" s="8">
        <f>IF(K618="ผ่าน",1,0)</f>
        <v/>
      </c>
      <c r="N618" s="7" t="n"/>
    </row>
    <row r="619">
      <c r="F619" s="7" t="n"/>
      <c r="G619" s="7" t="n"/>
      <c r="H619" s="8">
        <f>IF(OR(F619="",G619=""),"",MAX(0,ROUND((G619-F619)*1440,0)))</f>
        <v/>
      </c>
      <c r="I619" s="8">
        <f>IF(F619="","ไม่ครบ","ครบ")</f>
        <v/>
      </c>
      <c r="J619" s="8">
        <f>IF(G619="","ไม่ครบ","ครบ")</f>
        <v/>
      </c>
      <c r="K619" s="8">
        <f>IF(OR(F619="",G619=""),"ไม่ผ่าน",IF(H619&gt;=90,"ผ่าน","ไม่ผ่าน"))</f>
        <v/>
      </c>
      <c r="L619" s="8">
        <f>IF(K619="ผ่าน",1,0)</f>
        <v/>
      </c>
      <c r="N619" s="7" t="n"/>
    </row>
    <row r="620">
      <c r="F620" s="7" t="n"/>
      <c r="G620" s="7" t="n"/>
      <c r="H620" s="8">
        <f>IF(OR(F620="",G620=""),"",MAX(0,ROUND((G620-F620)*1440,0)))</f>
        <v/>
      </c>
      <c r="I620" s="8">
        <f>IF(F620="","ไม่ครบ","ครบ")</f>
        <v/>
      </c>
      <c r="J620" s="8">
        <f>IF(G620="","ไม่ครบ","ครบ")</f>
        <v/>
      </c>
      <c r="K620" s="8">
        <f>IF(OR(F620="",G620=""),"ไม่ผ่าน",IF(H620&gt;=90,"ผ่าน","ไม่ผ่าน"))</f>
        <v/>
      </c>
      <c r="L620" s="8">
        <f>IF(K620="ผ่าน",1,0)</f>
        <v/>
      </c>
      <c r="N620" s="7" t="n"/>
    </row>
    <row r="621">
      <c r="F621" s="7" t="n"/>
      <c r="G621" s="7" t="n"/>
      <c r="H621" s="8">
        <f>IF(OR(F621="",G621=""),"",MAX(0,ROUND((G621-F621)*1440,0)))</f>
        <v/>
      </c>
      <c r="I621" s="8">
        <f>IF(F621="","ไม่ครบ","ครบ")</f>
        <v/>
      </c>
      <c r="J621" s="8">
        <f>IF(G621="","ไม่ครบ","ครบ")</f>
        <v/>
      </c>
      <c r="K621" s="8">
        <f>IF(OR(F621="",G621=""),"ไม่ผ่าน",IF(H621&gt;=90,"ผ่าน","ไม่ผ่าน"))</f>
        <v/>
      </c>
      <c r="L621" s="8">
        <f>IF(K621="ผ่าน",1,0)</f>
        <v/>
      </c>
      <c r="N621" s="7" t="n"/>
    </row>
    <row r="622">
      <c r="F622" s="7" t="n"/>
      <c r="G622" s="7" t="n"/>
      <c r="H622" s="8">
        <f>IF(OR(F622="",G622=""),"",MAX(0,ROUND((G622-F622)*1440,0)))</f>
        <v/>
      </c>
      <c r="I622" s="8">
        <f>IF(F622="","ไม่ครบ","ครบ")</f>
        <v/>
      </c>
      <c r="J622" s="8">
        <f>IF(G622="","ไม่ครบ","ครบ")</f>
        <v/>
      </c>
      <c r="K622" s="8">
        <f>IF(OR(F622="",G622=""),"ไม่ผ่าน",IF(H622&gt;=90,"ผ่าน","ไม่ผ่าน"))</f>
        <v/>
      </c>
      <c r="L622" s="8">
        <f>IF(K622="ผ่าน",1,0)</f>
        <v/>
      </c>
      <c r="N622" s="7" t="n"/>
    </row>
    <row r="623">
      <c r="F623" s="7" t="n"/>
      <c r="G623" s="7" t="n"/>
      <c r="H623" s="8">
        <f>IF(OR(F623="",G623=""),"",MAX(0,ROUND((G623-F623)*1440,0)))</f>
        <v/>
      </c>
      <c r="I623" s="8">
        <f>IF(F623="","ไม่ครบ","ครบ")</f>
        <v/>
      </c>
      <c r="J623" s="8">
        <f>IF(G623="","ไม่ครบ","ครบ")</f>
        <v/>
      </c>
      <c r="K623" s="8">
        <f>IF(OR(F623="",G623=""),"ไม่ผ่าน",IF(H623&gt;=90,"ผ่าน","ไม่ผ่าน"))</f>
        <v/>
      </c>
      <c r="L623" s="8">
        <f>IF(K623="ผ่าน",1,0)</f>
        <v/>
      </c>
      <c r="N623" s="7" t="n"/>
    </row>
    <row r="624">
      <c r="F624" s="7" t="n"/>
      <c r="G624" s="7" t="n"/>
      <c r="H624" s="8">
        <f>IF(OR(F624="",G624=""),"",MAX(0,ROUND((G624-F624)*1440,0)))</f>
        <v/>
      </c>
      <c r="I624" s="8">
        <f>IF(F624="","ไม่ครบ","ครบ")</f>
        <v/>
      </c>
      <c r="J624" s="8">
        <f>IF(G624="","ไม่ครบ","ครบ")</f>
        <v/>
      </c>
      <c r="K624" s="8">
        <f>IF(OR(F624="",G624=""),"ไม่ผ่าน",IF(H624&gt;=90,"ผ่าน","ไม่ผ่าน"))</f>
        <v/>
      </c>
      <c r="L624" s="8">
        <f>IF(K624="ผ่าน",1,0)</f>
        <v/>
      </c>
      <c r="N624" s="7" t="n"/>
    </row>
    <row r="625">
      <c r="F625" s="7" t="n"/>
      <c r="G625" s="7" t="n"/>
      <c r="H625" s="8">
        <f>IF(OR(F625="",G625=""),"",MAX(0,ROUND((G625-F625)*1440,0)))</f>
        <v/>
      </c>
      <c r="I625" s="8">
        <f>IF(F625="","ไม่ครบ","ครบ")</f>
        <v/>
      </c>
      <c r="J625" s="8">
        <f>IF(G625="","ไม่ครบ","ครบ")</f>
        <v/>
      </c>
      <c r="K625" s="8">
        <f>IF(OR(F625="",G625=""),"ไม่ผ่าน",IF(H625&gt;=90,"ผ่าน","ไม่ผ่าน"))</f>
        <v/>
      </c>
      <c r="L625" s="8">
        <f>IF(K625="ผ่าน",1,0)</f>
        <v/>
      </c>
      <c r="N625" s="7" t="n"/>
    </row>
    <row r="626">
      <c r="F626" s="7" t="n"/>
      <c r="G626" s="7" t="n"/>
      <c r="H626" s="8">
        <f>IF(OR(F626="",G626=""),"",MAX(0,ROUND((G626-F626)*1440,0)))</f>
        <v/>
      </c>
      <c r="I626" s="8">
        <f>IF(F626="","ไม่ครบ","ครบ")</f>
        <v/>
      </c>
      <c r="J626" s="8">
        <f>IF(G626="","ไม่ครบ","ครบ")</f>
        <v/>
      </c>
      <c r="K626" s="8">
        <f>IF(OR(F626="",G626=""),"ไม่ผ่าน",IF(H626&gt;=90,"ผ่าน","ไม่ผ่าน"))</f>
        <v/>
      </c>
      <c r="L626" s="8">
        <f>IF(K626="ผ่าน",1,0)</f>
        <v/>
      </c>
      <c r="N626" s="7" t="n"/>
    </row>
    <row r="627">
      <c r="F627" s="7" t="n"/>
      <c r="G627" s="7" t="n"/>
      <c r="H627" s="8">
        <f>IF(OR(F627="",G627=""),"",MAX(0,ROUND((G627-F627)*1440,0)))</f>
        <v/>
      </c>
      <c r="I627" s="8">
        <f>IF(F627="","ไม่ครบ","ครบ")</f>
        <v/>
      </c>
      <c r="J627" s="8">
        <f>IF(G627="","ไม่ครบ","ครบ")</f>
        <v/>
      </c>
      <c r="K627" s="8">
        <f>IF(OR(F627="",G627=""),"ไม่ผ่าน",IF(H627&gt;=90,"ผ่าน","ไม่ผ่าน"))</f>
        <v/>
      </c>
      <c r="L627" s="8">
        <f>IF(K627="ผ่าน",1,0)</f>
        <v/>
      </c>
      <c r="N627" s="7" t="n"/>
    </row>
    <row r="628">
      <c r="F628" s="7" t="n"/>
      <c r="G628" s="7" t="n"/>
      <c r="H628" s="8">
        <f>IF(OR(F628="",G628=""),"",MAX(0,ROUND((G628-F628)*1440,0)))</f>
        <v/>
      </c>
      <c r="I628" s="8">
        <f>IF(F628="","ไม่ครบ","ครบ")</f>
        <v/>
      </c>
      <c r="J628" s="8">
        <f>IF(G628="","ไม่ครบ","ครบ")</f>
        <v/>
      </c>
      <c r="K628" s="8">
        <f>IF(OR(F628="",G628=""),"ไม่ผ่าน",IF(H628&gt;=90,"ผ่าน","ไม่ผ่าน"))</f>
        <v/>
      </c>
      <c r="L628" s="8">
        <f>IF(K628="ผ่าน",1,0)</f>
        <v/>
      </c>
      <c r="N628" s="7" t="n"/>
    </row>
    <row r="629">
      <c r="F629" s="7" t="n"/>
      <c r="G629" s="7" t="n"/>
      <c r="H629" s="8">
        <f>IF(OR(F629="",G629=""),"",MAX(0,ROUND((G629-F629)*1440,0)))</f>
        <v/>
      </c>
      <c r="I629" s="8">
        <f>IF(F629="","ไม่ครบ","ครบ")</f>
        <v/>
      </c>
      <c r="J629" s="8">
        <f>IF(G629="","ไม่ครบ","ครบ")</f>
        <v/>
      </c>
      <c r="K629" s="8">
        <f>IF(OR(F629="",G629=""),"ไม่ผ่าน",IF(H629&gt;=90,"ผ่าน","ไม่ผ่าน"))</f>
        <v/>
      </c>
      <c r="L629" s="8">
        <f>IF(K629="ผ่าน",1,0)</f>
        <v/>
      </c>
      <c r="N629" s="7" t="n"/>
    </row>
    <row r="630">
      <c r="F630" s="7" t="n"/>
      <c r="G630" s="7" t="n"/>
      <c r="H630" s="8">
        <f>IF(OR(F630="",G630=""),"",MAX(0,ROUND((G630-F630)*1440,0)))</f>
        <v/>
      </c>
      <c r="I630" s="8">
        <f>IF(F630="","ไม่ครบ","ครบ")</f>
        <v/>
      </c>
      <c r="J630" s="8">
        <f>IF(G630="","ไม่ครบ","ครบ")</f>
        <v/>
      </c>
      <c r="K630" s="8">
        <f>IF(OR(F630="",G630=""),"ไม่ผ่าน",IF(H630&gt;=90,"ผ่าน","ไม่ผ่าน"))</f>
        <v/>
      </c>
      <c r="L630" s="8">
        <f>IF(K630="ผ่าน",1,0)</f>
        <v/>
      </c>
      <c r="N630" s="7" t="n"/>
    </row>
    <row r="631">
      <c r="F631" s="7" t="n"/>
      <c r="G631" s="7" t="n"/>
      <c r="H631" s="8">
        <f>IF(OR(F631="",G631=""),"",MAX(0,ROUND((G631-F631)*1440,0)))</f>
        <v/>
      </c>
      <c r="I631" s="8">
        <f>IF(F631="","ไม่ครบ","ครบ")</f>
        <v/>
      </c>
      <c r="J631" s="8">
        <f>IF(G631="","ไม่ครบ","ครบ")</f>
        <v/>
      </c>
      <c r="K631" s="8">
        <f>IF(OR(F631="",G631=""),"ไม่ผ่าน",IF(H631&gt;=90,"ผ่าน","ไม่ผ่าน"))</f>
        <v/>
      </c>
      <c r="L631" s="8">
        <f>IF(K631="ผ่าน",1,0)</f>
        <v/>
      </c>
      <c r="N631" s="7" t="n"/>
    </row>
    <row r="632">
      <c r="F632" s="7" t="n"/>
      <c r="G632" s="7" t="n"/>
      <c r="H632" s="8">
        <f>IF(OR(F632="",G632=""),"",MAX(0,ROUND((G632-F632)*1440,0)))</f>
        <v/>
      </c>
      <c r="I632" s="8">
        <f>IF(F632="","ไม่ครบ","ครบ")</f>
        <v/>
      </c>
      <c r="J632" s="8">
        <f>IF(G632="","ไม่ครบ","ครบ")</f>
        <v/>
      </c>
      <c r="K632" s="8">
        <f>IF(OR(F632="",G632=""),"ไม่ผ่าน",IF(H632&gt;=90,"ผ่าน","ไม่ผ่าน"))</f>
        <v/>
      </c>
      <c r="L632" s="8">
        <f>IF(K632="ผ่าน",1,0)</f>
        <v/>
      </c>
      <c r="N632" s="7" t="n"/>
    </row>
    <row r="633">
      <c r="F633" s="7" t="n"/>
      <c r="G633" s="7" t="n"/>
      <c r="H633" s="8">
        <f>IF(OR(F633="",G633=""),"",MAX(0,ROUND((G633-F633)*1440,0)))</f>
        <v/>
      </c>
      <c r="I633" s="8">
        <f>IF(F633="","ไม่ครบ","ครบ")</f>
        <v/>
      </c>
      <c r="J633" s="8">
        <f>IF(G633="","ไม่ครบ","ครบ")</f>
        <v/>
      </c>
      <c r="K633" s="8">
        <f>IF(OR(F633="",G633=""),"ไม่ผ่าน",IF(H633&gt;=90,"ผ่าน","ไม่ผ่าน"))</f>
        <v/>
      </c>
      <c r="L633" s="8">
        <f>IF(K633="ผ่าน",1,0)</f>
        <v/>
      </c>
      <c r="N633" s="7" t="n"/>
    </row>
    <row r="634">
      <c r="F634" s="7" t="n"/>
      <c r="G634" s="7" t="n"/>
      <c r="H634" s="8">
        <f>IF(OR(F634="",G634=""),"",MAX(0,ROUND((G634-F634)*1440,0)))</f>
        <v/>
      </c>
      <c r="I634" s="8">
        <f>IF(F634="","ไม่ครบ","ครบ")</f>
        <v/>
      </c>
      <c r="J634" s="8">
        <f>IF(G634="","ไม่ครบ","ครบ")</f>
        <v/>
      </c>
      <c r="K634" s="8">
        <f>IF(OR(F634="",G634=""),"ไม่ผ่าน",IF(H634&gt;=90,"ผ่าน","ไม่ผ่าน"))</f>
        <v/>
      </c>
      <c r="L634" s="8">
        <f>IF(K634="ผ่าน",1,0)</f>
        <v/>
      </c>
      <c r="N634" s="7" t="n"/>
    </row>
    <row r="635">
      <c r="F635" s="7" t="n"/>
      <c r="G635" s="7" t="n"/>
      <c r="H635" s="8">
        <f>IF(OR(F635="",G635=""),"",MAX(0,ROUND((G635-F635)*1440,0)))</f>
        <v/>
      </c>
      <c r="I635" s="8">
        <f>IF(F635="","ไม่ครบ","ครบ")</f>
        <v/>
      </c>
      <c r="J635" s="8">
        <f>IF(G635="","ไม่ครบ","ครบ")</f>
        <v/>
      </c>
      <c r="K635" s="8">
        <f>IF(OR(F635="",G635=""),"ไม่ผ่าน",IF(H635&gt;=90,"ผ่าน","ไม่ผ่าน"))</f>
        <v/>
      </c>
      <c r="L635" s="8">
        <f>IF(K635="ผ่าน",1,0)</f>
        <v/>
      </c>
      <c r="N635" s="7" t="n"/>
    </row>
    <row r="636">
      <c r="F636" s="7" t="n"/>
      <c r="G636" s="7" t="n"/>
      <c r="H636" s="8">
        <f>IF(OR(F636="",G636=""),"",MAX(0,ROUND((G636-F636)*1440,0)))</f>
        <v/>
      </c>
      <c r="I636" s="8">
        <f>IF(F636="","ไม่ครบ","ครบ")</f>
        <v/>
      </c>
      <c r="J636" s="8">
        <f>IF(G636="","ไม่ครบ","ครบ")</f>
        <v/>
      </c>
      <c r="K636" s="8">
        <f>IF(OR(F636="",G636=""),"ไม่ผ่าน",IF(H636&gt;=90,"ผ่าน","ไม่ผ่าน"))</f>
        <v/>
      </c>
      <c r="L636" s="8">
        <f>IF(K636="ผ่าน",1,0)</f>
        <v/>
      </c>
      <c r="N636" s="7" t="n"/>
    </row>
    <row r="637">
      <c r="F637" s="7" t="n"/>
      <c r="G637" s="7" t="n"/>
      <c r="H637" s="8">
        <f>IF(OR(F637="",G637=""),"",MAX(0,ROUND((G637-F637)*1440,0)))</f>
        <v/>
      </c>
      <c r="I637" s="8">
        <f>IF(F637="","ไม่ครบ","ครบ")</f>
        <v/>
      </c>
      <c r="J637" s="8">
        <f>IF(G637="","ไม่ครบ","ครบ")</f>
        <v/>
      </c>
      <c r="K637" s="8">
        <f>IF(OR(F637="",G637=""),"ไม่ผ่าน",IF(H637&gt;=90,"ผ่าน","ไม่ผ่าน"))</f>
        <v/>
      </c>
      <c r="L637" s="8">
        <f>IF(K637="ผ่าน",1,0)</f>
        <v/>
      </c>
      <c r="N637" s="7" t="n"/>
    </row>
    <row r="638">
      <c r="F638" s="7" t="n"/>
      <c r="G638" s="7" t="n"/>
      <c r="H638" s="8">
        <f>IF(OR(F638="",G638=""),"",MAX(0,ROUND((G638-F638)*1440,0)))</f>
        <v/>
      </c>
      <c r="I638" s="8">
        <f>IF(F638="","ไม่ครบ","ครบ")</f>
        <v/>
      </c>
      <c r="J638" s="8">
        <f>IF(G638="","ไม่ครบ","ครบ")</f>
        <v/>
      </c>
      <c r="K638" s="8">
        <f>IF(OR(F638="",G638=""),"ไม่ผ่าน",IF(H638&gt;=90,"ผ่าน","ไม่ผ่าน"))</f>
        <v/>
      </c>
      <c r="L638" s="8">
        <f>IF(K638="ผ่าน",1,0)</f>
        <v/>
      </c>
      <c r="N638" s="7" t="n"/>
    </row>
    <row r="639">
      <c r="F639" s="7" t="n"/>
      <c r="G639" s="7" t="n"/>
      <c r="H639" s="8">
        <f>IF(OR(F639="",G639=""),"",MAX(0,ROUND((G639-F639)*1440,0)))</f>
        <v/>
      </c>
      <c r="I639" s="8">
        <f>IF(F639="","ไม่ครบ","ครบ")</f>
        <v/>
      </c>
      <c r="J639" s="8">
        <f>IF(G639="","ไม่ครบ","ครบ")</f>
        <v/>
      </c>
      <c r="K639" s="8">
        <f>IF(OR(F639="",G639=""),"ไม่ผ่าน",IF(H639&gt;=90,"ผ่าน","ไม่ผ่าน"))</f>
        <v/>
      </c>
      <c r="L639" s="8">
        <f>IF(K639="ผ่าน",1,0)</f>
        <v/>
      </c>
      <c r="N639" s="7" t="n"/>
    </row>
    <row r="640">
      <c r="F640" s="7" t="n"/>
      <c r="G640" s="7" t="n"/>
      <c r="H640" s="8">
        <f>IF(OR(F640="",G640=""),"",MAX(0,ROUND((G640-F640)*1440,0)))</f>
        <v/>
      </c>
      <c r="I640" s="8">
        <f>IF(F640="","ไม่ครบ","ครบ")</f>
        <v/>
      </c>
      <c r="J640" s="8">
        <f>IF(G640="","ไม่ครบ","ครบ")</f>
        <v/>
      </c>
      <c r="K640" s="8">
        <f>IF(OR(F640="",G640=""),"ไม่ผ่าน",IF(H640&gt;=90,"ผ่าน","ไม่ผ่าน"))</f>
        <v/>
      </c>
      <c r="L640" s="8">
        <f>IF(K640="ผ่าน",1,0)</f>
        <v/>
      </c>
      <c r="N640" s="7" t="n"/>
    </row>
    <row r="641">
      <c r="F641" s="7" t="n"/>
      <c r="G641" s="7" t="n"/>
      <c r="H641" s="8">
        <f>IF(OR(F641="",G641=""),"",MAX(0,ROUND((G641-F641)*1440,0)))</f>
        <v/>
      </c>
      <c r="I641" s="8">
        <f>IF(F641="","ไม่ครบ","ครบ")</f>
        <v/>
      </c>
      <c r="J641" s="8">
        <f>IF(G641="","ไม่ครบ","ครบ")</f>
        <v/>
      </c>
      <c r="K641" s="8">
        <f>IF(OR(F641="",G641=""),"ไม่ผ่าน",IF(H641&gt;=90,"ผ่าน","ไม่ผ่าน"))</f>
        <v/>
      </c>
      <c r="L641" s="8">
        <f>IF(K641="ผ่าน",1,0)</f>
        <v/>
      </c>
      <c r="N641" s="7" t="n"/>
    </row>
    <row r="642">
      <c r="F642" s="7" t="n"/>
      <c r="G642" s="7" t="n"/>
      <c r="H642" s="8">
        <f>IF(OR(F642="",G642=""),"",MAX(0,ROUND((G642-F642)*1440,0)))</f>
        <v/>
      </c>
      <c r="I642" s="8">
        <f>IF(F642="","ไม่ครบ","ครบ")</f>
        <v/>
      </c>
      <c r="J642" s="8">
        <f>IF(G642="","ไม่ครบ","ครบ")</f>
        <v/>
      </c>
      <c r="K642" s="8">
        <f>IF(OR(F642="",G642=""),"ไม่ผ่าน",IF(H642&gt;=90,"ผ่าน","ไม่ผ่าน"))</f>
        <v/>
      </c>
      <c r="L642" s="8">
        <f>IF(K642="ผ่าน",1,0)</f>
        <v/>
      </c>
      <c r="N642" s="7" t="n"/>
    </row>
    <row r="643">
      <c r="F643" s="7" t="n"/>
      <c r="G643" s="7" t="n"/>
      <c r="H643" s="8">
        <f>IF(OR(F643="",G643=""),"",MAX(0,ROUND((G643-F643)*1440,0)))</f>
        <v/>
      </c>
      <c r="I643" s="8">
        <f>IF(F643="","ไม่ครบ","ครบ")</f>
        <v/>
      </c>
      <c r="J643" s="8">
        <f>IF(G643="","ไม่ครบ","ครบ")</f>
        <v/>
      </c>
      <c r="K643" s="8">
        <f>IF(OR(F643="",G643=""),"ไม่ผ่าน",IF(H643&gt;=90,"ผ่าน","ไม่ผ่าน"))</f>
        <v/>
      </c>
      <c r="L643" s="8">
        <f>IF(K643="ผ่าน",1,0)</f>
        <v/>
      </c>
      <c r="N643" s="7" t="n"/>
    </row>
    <row r="644">
      <c r="F644" s="7" t="n"/>
      <c r="G644" s="7" t="n"/>
      <c r="H644" s="8">
        <f>IF(OR(F644="",G644=""),"",MAX(0,ROUND((G644-F644)*1440,0)))</f>
        <v/>
      </c>
      <c r="I644" s="8">
        <f>IF(F644="","ไม่ครบ","ครบ")</f>
        <v/>
      </c>
      <c r="J644" s="8">
        <f>IF(G644="","ไม่ครบ","ครบ")</f>
        <v/>
      </c>
      <c r="K644" s="8">
        <f>IF(OR(F644="",G644=""),"ไม่ผ่าน",IF(H644&gt;=90,"ผ่าน","ไม่ผ่าน"))</f>
        <v/>
      </c>
      <c r="L644" s="8">
        <f>IF(K644="ผ่าน",1,0)</f>
        <v/>
      </c>
      <c r="N644" s="7" t="n"/>
    </row>
    <row r="645">
      <c r="F645" s="7" t="n"/>
      <c r="G645" s="7" t="n"/>
      <c r="H645" s="8">
        <f>IF(OR(F645="",G645=""),"",MAX(0,ROUND((G645-F645)*1440,0)))</f>
        <v/>
      </c>
      <c r="I645" s="8">
        <f>IF(F645="","ไม่ครบ","ครบ")</f>
        <v/>
      </c>
      <c r="J645" s="8">
        <f>IF(G645="","ไม่ครบ","ครบ")</f>
        <v/>
      </c>
      <c r="K645" s="8">
        <f>IF(OR(F645="",G645=""),"ไม่ผ่าน",IF(H645&gt;=90,"ผ่าน","ไม่ผ่าน"))</f>
        <v/>
      </c>
      <c r="L645" s="8">
        <f>IF(K645="ผ่าน",1,0)</f>
        <v/>
      </c>
      <c r="N645" s="7" t="n"/>
    </row>
    <row r="646">
      <c r="F646" s="7" t="n"/>
      <c r="G646" s="7" t="n"/>
      <c r="H646" s="8">
        <f>IF(OR(F646="",G646=""),"",MAX(0,ROUND((G646-F646)*1440,0)))</f>
        <v/>
      </c>
      <c r="I646" s="8">
        <f>IF(F646="","ไม่ครบ","ครบ")</f>
        <v/>
      </c>
      <c r="J646" s="8">
        <f>IF(G646="","ไม่ครบ","ครบ")</f>
        <v/>
      </c>
      <c r="K646" s="8">
        <f>IF(OR(F646="",G646=""),"ไม่ผ่าน",IF(H646&gt;=90,"ผ่าน","ไม่ผ่าน"))</f>
        <v/>
      </c>
      <c r="L646" s="8">
        <f>IF(K646="ผ่าน",1,0)</f>
        <v/>
      </c>
      <c r="N646" s="7" t="n"/>
    </row>
    <row r="647">
      <c r="F647" s="7" t="n"/>
      <c r="G647" s="7" t="n"/>
      <c r="H647" s="8">
        <f>IF(OR(F647="",G647=""),"",MAX(0,ROUND((G647-F647)*1440,0)))</f>
        <v/>
      </c>
      <c r="I647" s="8">
        <f>IF(F647="","ไม่ครบ","ครบ")</f>
        <v/>
      </c>
      <c r="J647" s="8">
        <f>IF(G647="","ไม่ครบ","ครบ")</f>
        <v/>
      </c>
      <c r="K647" s="8">
        <f>IF(OR(F647="",G647=""),"ไม่ผ่าน",IF(H647&gt;=90,"ผ่าน","ไม่ผ่าน"))</f>
        <v/>
      </c>
      <c r="L647" s="8">
        <f>IF(K647="ผ่าน",1,0)</f>
        <v/>
      </c>
      <c r="N647" s="7" t="n"/>
    </row>
    <row r="648">
      <c r="F648" s="7" t="n"/>
      <c r="G648" s="7" t="n"/>
      <c r="H648" s="8">
        <f>IF(OR(F648="",G648=""),"",MAX(0,ROUND((G648-F648)*1440,0)))</f>
        <v/>
      </c>
      <c r="I648" s="8">
        <f>IF(F648="","ไม่ครบ","ครบ")</f>
        <v/>
      </c>
      <c r="J648" s="8">
        <f>IF(G648="","ไม่ครบ","ครบ")</f>
        <v/>
      </c>
      <c r="K648" s="8">
        <f>IF(OR(F648="",G648=""),"ไม่ผ่าน",IF(H648&gt;=90,"ผ่าน","ไม่ผ่าน"))</f>
        <v/>
      </c>
      <c r="L648" s="8">
        <f>IF(K648="ผ่าน",1,0)</f>
        <v/>
      </c>
      <c r="N648" s="7" t="n"/>
    </row>
    <row r="649">
      <c r="F649" s="7" t="n"/>
      <c r="G649" s="7" t="n"/>
      <c r="H649" s="8">
        <f>IF(OR(F649="",G649=""),"",MAX(0,ROUND((G649-F649)*1440,0)))</f>
        <v/>
      </c>
      <c r="I649" s="8">
        <f>IF(F649="","ไม่ครบ","ครบ")</f>
        <v/>
      </c>
      <c r="J649" s="8">
        <f>IF(G649="","ไม่ครบ","ครบ")</f>
        <v/>
      </c>
      <c r="K649" s="8">
        <f>IF(OR(F649="",G649=""),"ไม่ผ่าน",IF(H649&gt;=90,"ผ่าน","ไม่ผ่าน"))</f>
        <v/>
      </c>
      <c r="L649" s="8">
        <f>IF(K649="ผ่าน",1,0)</f>
        <v/>
      </c>
      <c r="N649" s="7" t="n"/>
    </row>
    <row r="650">
      <c r="F650" s="7" t="n"/>
      <c r="G650" s="7" t="n"/>
      <c r="H650" s="8">
        <f>IF(OR(F650="",G650=""),"",MAX(0,ROUND((G650-F650)*1440,0)))</f>
        <v/>
      </c>
      <c r="I650" s="8">
        <f>IF(F650="","ไม่ครบ","ครบ")</f>
        <v/>
      </c>
      <c r="J650" s="8">
        <f>IF(G650="","ไม่ครบ","ครบ")</f>
        <v/>
      </c>
      <c r="K650" s="8">
        <f>IF(OR(F650="",G650=""),"ไม่ผ่าน",IF(H650&gt;=90,"ผ่าน","ไม่ผ่าน"))</f>
        <v/>
      </c>
      <c r="L650" s="8">
        <f>IF(K650="ผ่าน",1,0)</f>
        <v/>
      </c>
      <c r="N650" s="7" t="n"/>
    </row>
    <row r="651">
      <c r="F651" s="7" t="n"/>
      <c r="G651" s="7" t="n"/>
      <c r="H651" s="8">
        <f>IF(OR(F651="",G651=""),"",MAX(0,ROUND((G651-F651)*1440,0)))</f>
        <v/>
      </c>
      <c r="I651" s="8">
        <f>IF(F651="","ไม่ครบ","ครบ")</f>
        <v/>
      </c>
      <c r="J651" s="8">
        <f>IF(G651="","ไม่ครบ","ครบ")</f>
        <v/>
      </c>
      <c r="K651" s="8">
        <f>IF(OR(F651="",G651=""),"ไม่ผ่าน",IF(H651&gt;=90,"ผ่าน","ไม่ผ่าน"))</f>
        <v/>
      </c>
      <c r="L651" s="8">
        <f>IF(K651="ผ่าน",1,0)</f>
        <v/>
      </c>
      <c r="N651" s="7" t="n"/>
    </row>
    <row r="652">
      <c r="F652" s="7" t="n"/>
      <c r="G652" s="7" t="n"/>
      <c r="H652" s="8">
        <f>IF(OR(F652="",G652=""),"",MAX(0,ROUND((G652-F652)*1440,0)))</f>
        <v/>
      </c>
      <c r="I652" s="8">
        <f>IF(F652="","ไม่ครบ","ครบ")</f>
        <v/>
      </c>
      <c r="J652" s="8">
        <f>IF(G652="","ไม่ครบ","ครบ")</f>
        <v/>
      </c>
      <c r="K652" s="8">
        <f>IF(OR(F652="",G652=""),"ไม่ผ่าน",IF(H652&gt;=90,"ผ่าน","ไม่ผ่าน"))</f>
        <v/>
      </c>
      <c r="L652" s="8">
        <f>IF(K652="ผ่าน",1,0)</f>
        <v/>
      </c>
      <c r="N652" s="7" t="n"/>
    </row>
    <row r="653">
      <c r="F653" s="7" t="n"/>
      <c r="G653" s="7" t="n"/>
      <c r="H653" s="8">
        <f>IF(OR(F653="",G653=""),"",MAX(0,ROUND((G653-F653)*1440,0)))</f>
        <v/>
      </c>
      <c r="I653" s="8">
        <f>IF(F653="","ไม่ครบ","ครบ")</f>
        <v/>
      </c>
      <c r="J653" s="8">
        <f>IF(G653="","ไม่ครบ","ครบ")</f>
        <v/>
      </c>
      <c r="K653" s="8">
        <f>IF(OR(F653="",G653=""),"ไม่ผ่าน",IF(H653&gt;=90,"ผ่าน","ไม่ผ่าน"))</f>
        <v/>
      </c>
      <c r="L653" s="8">
        <f>IF(K653="ผ่าน",1,0)</f>
        <v/>
      </c>
      <c r="N653" s="7" t="n"/>
    </row>
    <row r="654">
      <c r="F654" s="7" t="n"/>
      <c r="G654" s="7" t="n"/>
      <c r="H654" s="8">
        <f>IF(OR(F654="",G654=""),"",MAX(0,ROUND((G654-F654)*1440,0)))</f>
        <v/>
      </c>
      <c r="I654" s="8">
        <f>IF(F654="","ไม่ครบ","ครบ")</f>
        <v/>
      </c>
      <c r="J654" s="8">
        <f>IF(G654="","ไม่ครบ","ครบ")</f>
        <v/>
      </c>
      <c r="K654" s="8">
        <f>IF(OR(F654="",G654=""),"ไม่ผ่าน",IF(H654&gt;=90,"ผ่าน","ไม่ผ่าน"))</f>
        <v/>
      </c>
      <c r="L654" s="8">
        <f>IF(K654="ผ่าน",1,0)</f>
        <v/>
      </c>
      <c r="N654" s="7" t="n"/>
    </row>
    <row r="655">
      <c r="F655" s="7" t="n"/>
      <c r="G655" s="7" t="n"/>
      <c r="H655" s="8">
        <f>IF(OR(F655="",G655=""),"",MAX(0,ROUND((G655-F655)*1440,0)))</f>
        <v/>
      </c>
      <c r="I655" s="8">
        <f>IF(F655="","ไม่ครบ","ครบ")</f>
        <v/>
      </c>
      <c r="J655" s="8">
        <f>IF(G655="","ไม่ครบ","ครบ")</f>
        <v/>
      </c>
      <c r="K655" s="8">
        <f>IF(OR(F655="",G655=""),"ไม่ผ่าน",IF(H655&gt;=90,"ผ่าน","ไม่ผ่าน"))</f>
        <v/>
      </c>
      <c r="L655" s="8">
        <f>IF(K655="ผ่าน",1,0)</f>
        <v/>
      </c>
      <c r="N655" s="7" t="n"/>
    </row>
    <row r="656">
      <c r="F656" s="7" t="n"/>
      <c r="G656" s="7" t="n"/>
      <c r="H656" s="8">
        <f>IF(OR(F656="",G656=""),"",MAX(0,ROUND((G656-F656)*1440,0)))</f>
        <v/>
      </c>
      <c r="I656" s="8">
        <f>IF(F656="","ไม่ครบ","ครบ")</f>
        <v/>
      </c>
      <c r="J656" s="8">
        <f>IF(G656="","ไม่ครบ","ครบ")</f>
        <v/>
      </c>
      <c r="K656" s="8">
        <f>IF(OR(F656="",G656=""),"ไม่ผ่าน",IF(H656&gt;=90,"ผ่าน","ไม่ผ่าน"))</f>
        <v/>
      </c>
      <c r="L656" s="8">
        <f>IF(K656="ผ่าน",1,0)</f>
        <v/>
      </c>
      <c r="N656" s="7" t="n"/>
    </row>
    <row r="657">
      <c r="F657" s="7" t="n"/>
      <c r="G657" s="7" t="n"/>
      <c r="H657" s="8">
        <f>IF(OR(F657="",G657=""),"",MAX(0,ROUND((G657-F657)*1440,0)))</f>
        <v/>
      </c>
      <c r="I657" s="8">
        <f>IF(F657="","ไม่ครบ","ครบ")</f>
        <v/>
      </c>
      <c r="J657" s="8">
        <f>IF(G657="","ไม่ครบ","ครบ")</f>
        <v/>
      </c>
      <c r="K657" s="8">
        <f>IF(OR(F657="",G657=""),"ไม่ผ่าน",IF(H657&gt;=90,"ผ่าน","ไม่ผ่าน"))</f>
        <v/>
      </c>
      <c r="L657" s="8">
        <f>IF(K657="ผ่าน",1,0)</f>
        <v/>
      </c>
      <c r="N657" s="7" t="n"/>
    </row>
    <row r="658">
      <c r="F658" s="7" t="n"/>
      <c r="G658" s="7" t="n"/>
      <c r="H658" s="8">
        <f>IF(OR(F658="",G658=""),"",MAX(0,ROUND((G658-F658)*1440,0)))</f>
        <v/>
      </c>
      <c r="I658" s="8">
        <f>IF(F658="","ไม่ครบ","ครบ")</f>
        <v/>
      </c>
      <c r="J658" s="8">
        <f>IF(G658="","ไม่ครบ","ครบ")</f>
        <v/>
      </c>
      <c r="K658" s="8">
        <f>IF(OR(F658="",G658=""),"ไม่ผ่าน",IF(H658&gt;=90,"ผ่าน","ไม่ผ่าน"))</f>
        <v/>
      </c>
      <c r="L658" s="8">
        <f>IF(K658="ผ่าน",1,0)</f>
        <v/>
      </c>
      <c r="N658" s="7" t="n"/>
    </row>
    <row r="659">
      <c r="F659" s="7" t="n"/>
      <c r="G659" s="7" t="n"/>
      <c r="H659" s="8">
        <f>IF(OR(F659="",G659=""),"",MAX(0,ROUND((G659-F659)*1440,0)))</f>
        <v/>
      </c>
      <c r="I659" s="8">
        <f>IF(F659="","ไม่ครบ","ครบ")</f>
        <v/>
      </c>
      <c r="J659" s="8">
        <f>IF(G659="","ไม่ครบ","ครบ")</f>
        <v/>
      </c>
      <c r="K659" s="8">
        <f>IF(OR(F659="",G659=""),"ไม่ผ่าน",IF(H659&gt;=90,"ผ่าน","ไม่ผ่าน"))</f>
        <v/>
      </c>
      <c r="L659" s="8">
        <f>IF(K659="ผ่าน",1,0)</f>
        <v/>
      </c>
      <c r="N659" s="7" t="n"/>
    </row>
    <row r="660">
      <c r="F660" s="7" t="n"/>
      <c r="G660" s="7" t="n"/>
      <c r="H660" s="8">
        <f>IF(OR(F660="",G660=""),"",MAX(0,ROUND((G660-F660)*1440,0)))</f>
        <v/>
      </c>
      <c r="I660" s="8">
        <f>IF(F660="","ไม่ครบ","ครบ")</f>
        <v/>
      </c>
      <c r="J660" s="8">
        <f>IF(G660="","ไม่ครบ","ครบ")</f>
        <v/>
      </c>
      <c r="K660" s="8">
        <f>IF(OR(F660="",G660=""),"ไม่ผ่าน",IF(H660&gt;=90,"ผ่าน","ไม่ผ่าน"))</f>
        <v/>
      </c>
      <c r="L660" s="8">
        <f>IF(K660="ผ่าน",1,0)</f>
        <v/>
      </c>
      <c r="N660" s="7" t="n"/>
    </row>
    <row r="661">
      <c r="F661" s="7" t="n"/>
      <c r="G661" s="7" t="n"/>
      <c r="H661" s="8">
        <f>IF(OR(F661="",G661=""),"",MAX(0,ROUND((G661-F661)*1440,0)))</f>
        <v/>
      </c>
      <c r="I661" s="8">
        <f>IF(F661="","ไม่ครบ","ครบ")</f>
        <v/>
      </c>
      <c r="J661" s="8">
        <f>IF(G661="","ไม่ครบ","ครบ")</f>
        <v/>
      </c>
      <c r="K661" s="8">
        <f>IF(OR(F661="",G661=""),"ไม่ผ่าน",IF(H661&gt;=90,"ผ่าน","ไม่ผ่าน"))</f>
        <v/>
      </c>
      <c r="L661" s="8">
        <f>IF(K661="ผ่าน",1,0)</f>
        <v/>
      </c>
      <c r="N661" s="7" t="n"/>
    </row>
    <row r="662">
      <c r="F662" s="7" t="n"/>
      <c r="G662" s="7" t="n"/>
      <c r="H662" s="8">
        <f>IF(OR(F662="",G662=""),"",MAX(0,ROUND((G662-F662)*1440,0)))</f>
        <v/>
      </c>
      <c r="I662" s="8">
        <f>IF(F662="","ไม่ครบ","ครบ")</f>
        <v/>
      </c>
      <c r="J662" s="8">
        <f>IF(G662="","ไม่ครบ","ครบ")</f>
        <v/>
      </c>
      <c r="K662" s="8">
        <f>IF(OR(F662="",G662=""),"ไม่ผ่าน",IF(H662&gt;=90,"ผ่าน","ไม่ผ่าน"))</f>
        <v/>
      </c>
      <c r="L662" s="8">
        <f>IF(K662="ผ่าน",1,0)</f>
        <v/>
      </c>
      <c r="N662" s="7" t="n"/>
    </row>
    <row r="663">
      <c r="F663" s="7" t="n"/>
      <c r="G663" s="7" t="n"/>
      <c r="H663" s="8">
        <f>IF(OR(F663="",G663=""),"",MAX(0,ROUND((G663-F663)*1440,0)))</f>
        <v/>
      </c>
      <c r="I663" s="8">
        <f>IF(F663="","ไม่ครบ","ครบ")</f>
        <v/>
      </c>
      <c r="J663" s="8">
        <f>IF(G663="","ไม่ครบ","ครบ")</f>
        <v/>
      </c>
      <c r="K663" s="8">
        <f>IF(OR(F663="",G663=""),"ไม่ผ่าน",IF(H663&gt;=90,"ผ่าน","ไม่ผ่าน"))</f>
        <v/>
      </c>
      <c r="L663" s="8">
        <f>IF(K663="ผ่าน",1,0)</f>
        <v/>
      </c>
      <c r="N663" s="7" t="n"/>
    </row>
    <row r="664">
      <c r="F664" s="7" t="n"/>
      <c r="G664" s="7" t="n"/>
      <c r="H664" s="8">
        <f>IF(OR(F664="",G664=""),"",MAX(0,ROUND((G664-F664)*1440,0)))</f>
        <v/>
      </c>
      <c r="I664" s="8">
        <f>IF(F664="","ไม่ครบ","ครบ")</f>
        <v/>
      </c>
      <c r="J664" s="8">
        <f>IF(G664="","ไม่ครบ","ครบ")</f>
        <v/>
      </c>
      <c r="K664" s="8">
        <f>IF(OR(F664="",G664=""),"ไม่ผ่าน",IF(H664&gt;=90,"ผ่าน","ไม่ผ่าน"))</f>
        <v/>
      </c>
      <c r="L664" s="8">
        <f>IF(K664="ผ่าน",1,0)</f>
        <v/>
      </c>
      <c r="N664" s="7" t="n"/>
    </row>
    <row r="665">
      <c r="F665" s="7" t="n"/>
      <c r="G665" s="7" t="n"/>
      <c r="H665" s="8">
        <f>IF(OR(F665="",G665=""),"",MAX(0,ROUND((G665-F665)*1440,0)))</f>
        <v/>
      </c>
      <c r="I665" s="8">
        <f>IF(F665="","ไม่ครบ","ครบ")</f>
        <v/>
      </c>
      <c r="J665" s="8">
        <f>IF(G665="","ไม่ครบ","ครบ")</f>
        <v/>
      </c>
      <c r="K665" s="8">
        <f>IF(OR(F665="",G665=""),"ไม่ผ่าน",IF(H665&gt;=90,"ผ่าน","ไม่ผ่าน"))</f>
        <v/>
      </c>
      <c r="L665" s="8">
        <f>IF(K665="ผ่าน",1,0)</f>
        <v/>
      </c>
      <c r="N665" s="7" t="n"/>
    </row>
    <row r="666">
      <c r="F666" s="7" t="n"/>
      <c r="G666" s="7" t="n"/>
      <c r="H666" s="8">
        <f>IF(OR(F666="",G666=""),"",MAX(0,ROUND((G666-F666)*1440,0)))</f>
        <v/>
      </c>
      <c r="I666" s="8">
        <f>IF(F666="","ไม่ครบ","ครบ")</f>
        <v/>
      </c>
      <c r="J666" s="8">
        <f>IF(G666="","ไม่ครบ","ครบ")</f>
        <v/>
      </c>
      <c r="K666" s="8">
        <f>IF(OR(F666="",G666=""),"ไม่ผ่าน",IF(H666&gt;=90,"ผ่าน","ไม่ผ่าน"))</f>
        <v/>
      </c>
      <c r="L666" s="8">
        <f>IF(K666="ผ่าน",1,0)</f>
        <v/>
      </c>
      <c r="N666" s="7" t="n"/>
    </row>
    <row r="667">
      <c r="F667" s="7" t="n"/>
      <c r="G667" s="7" t="n"/>
      <c r="H667" s="8">
        <f>IF(OR(F667="",G667=""),"",MAX(0,ROUND((G667-F667)*1440,0)))</f>
        <v/>
      </c>
      <c r="I667" s="8">
        <f>IF(F667="","ไม่ครบ","ครบ")</f>
        <v/>
      </c>
      <c r="J667" s="8">
        <f>IF(G667="","ไม่ครบ","ครบ")</f>
        <v/>
      </c>
      <c r="K667" s="8">
        <f>IF(OR(F667="",G667=""),"ไม่ผ่าน",IF(H667&gt;=90,"ผ่าน","ไม่ผ่าน"))</f>
        <v/>
      </c>
      <c r="L667" s="8">
        <f>IF(K667="ผ่าน",1,0)</f>
        <v/>
      </c>
      <c r="N667" s="7" t="n"/>
    </row>
    <row r="668">
      <c r="F668" s="7" t="n"/>
      <c r="G668" s="7" t="n"/>
      <c r="H668" s="8">
        <f>IF(OR(F668="",G668=""),"",MAX(0,ROUND((G668-F668)*1440,0)))</f>
        <v/>
      </c>
      <c r="I668" s="8">
        <f>IF(F668="","ไม่ครบ","ครบ")</f>
        <v/>
      </c>
      <c r="J668" s="8">
        <f>IF(G668="","ไม่ครบ","ครบ")</f>
        <v/>
      </c>
      <c r="K668" s="8">
        <f>IF(OR(F668="",G668=""),"ไม่ผ่าน",IF(H668&gt;=90,"ผ่าน","ไม่ผ่าน"))</f>
        <v/>
      </c>
      <c r="L668" s="8">
        <f>IF(K668="ผ่าน",1,0)</f>
        <v/>
      </c>
      <c r="N668" s="7" t="n"/>
    </row>
    <row r="669">
      <c r="F669" s="7" t="n"/>
      <c r="G669" s="7" t="n"/>
      <c r="H669" s="8">
        <f>IF(OR(F669="",G669=""),"",MAX(0,ROUND((G669-F669)*1440,0)))</f>
        <v/>
      </c>
      <c r="I669" s="8">
        <f>IF(F669="","ไม่ครบ","ครบ")</f>
        <v/>
      </c>
      <c r="J669" s="8">
        <f>IF(G669="","ไม่ครบ","ครบ")</f>
        <v/>
      </c>
      <c r="K669" s="8">
        <f>IF(OR(F669="",G669=""),"ไม่ผ่าน",IF(H669&gt;=90,"ผ่าน","ไม่ผ่าน"))</f>
        <v/>
      </c>
      <c r="L669" s="8">
        <f>IF(K669="ผ่าน",1,0)</f>
        <v/>
      </c>
      <c r="N669" s="7" t="n"/>
    </row>
    <row r="670">
      <c r="F670" s="7" t="n"/>
      <c r="G670" s="7" t="n"/>
      <c r="H670" s="8">
        <f>IF(OR(F670="",G670=""),"",MAX(0,ROUND((G670-F670)*1440,0)))</f>
        <v/>
      </c>
      <c r="I670" s="8">
        <f>IF(F670="","ไม่ครบ","ครบ")</f>
        <v/>
      </c>
      <c r="J670" s="8">
        <f>IF(G670="","ไม่ครบ","ครบ")</f>
        <v/>
      </c>
      <c r="K670" s="8">
        <f>IF(OR(F670="",G670=""),"ไม่ผ่าน",IF(H670&gt;=90,"ผ่าน","ไม่ผ่าน"))</f>
        <v/>
      </c>
      <c r="L670" s="8">
        <f>IF(K670="ผ่าน",1,0)</f>
        <v/>
      </c>
      <c r="N670" s="7" t="n"/>
    </row>
    <row r="671">
      <c r="F671" s="7" t="n"/>
      <c r="G671" s="7" t="n"/>
      <c r="H671" s="8">
        <f>IF(OR(F671="",G671=""),"",MAX(0,ROUND((G671-F671)*1440,0)))</f>
        <v/>
      </c>
      <c r="I671" s="8">
        <f>IF(F671="","ไม่ครบ","ครบ")</f>
        <v/>
      </c>
      <c r="J671" s="8">
        <f>IF(G671="","ไม่ครบ","ครบ")</f>
        <v/>
      </c>
      <c r="K671" s="8">
        <f>IF(OR(F671="",G671=""),"ไม่ผ่าน",IF(H671&gt;=90,"ผ่าน","ไม่ผ่าน"))</f>
        <v/>
      </c>
      <c r="L671" s="8">
        <f>IF(K671="ผ่าน",1,0)</f>
        <v/>
      </c>
      <c r="N671" s="7" t="n"/>
    </row>
    <row r="672">
      <c r="F672" s="7" t="n"/>
      <c r="G672" s="7" t="n"/>
      <c r="H672" s="8">
        <f>IF(OR(F672="",G672=""),"",MAX(0,ROUND((G672-F672)*1440,0)))</f>
        <v/>
      </c>
      <c r="I672" s="8">
        <f>IF(F672="","ไม่ครบ","ครบ")</f>
        <v/>
      </c>
      <c r="J672" s="8">
        <f>IF(G672="","ไม่ครบ","ครบ")</f>
        <v/>
      </c>
      <c r="K672" s="8">
        <f>IF(OR(F672="",G672=""),"ไม่ผ่าน",IF(H672&gt;=90,"ผ่าน","ไม่ผ่าน"))</f>
        <v/>
      </c>
      <c r="L672" s="8">
        <f>IF(K672="ผ่าน",1,0)</f>
        <v/>
      </c>
      <c r="N672" s="7" t="n"/>
    </row>
    <row r="673">
      <c r="F673" s="7" t="n"/>
      <c r="G673" s="7" t="n"/>
      <c r="H673" s="8">
        <f>IF(OR(F673="",G673=""),"",MAX(0,ROUND((G673-F673)*1440,0)))</f>
        <v/>
      </c>
      <c r="I673" s="8">
        <f>IF(F673="","ไม่ครบ","ครบ")</f>
        <v/>
      </c>
      <c r="J673" s="8">
        <f>IF(G673="","ไม่ครบ","ครบ")</f>
        <v/>
      </c>
      <c r="K673" s="8">
        <f>IF(OR(F673="",G673=""),"ไม่ผ่าน",IF(H673&gt;=90,"ผ่าน","ไม่ผ่าน"))</f>
        <v/>
      </c>
      <c r="L673" s="8">
        <f>IF(K673="ผ่าน",1,0)</f>
        <v/>
      </c>
      <c r="N673" s="7" t="n"/>
    </row>
    <row r="674">
      <c r="F674" s="7" t="n"/>
      <c r="G674" s="7" t="n"/>
      <c r="H674" s="8">
        <f>IF(OR(F674="",G674=""),"",MAX(0,ROUND((G674-F674)*1440,0)))</f>
        <v/>
      </c>
      <c r="I674" s="8">
        <f>IF(F674="","ไม่ครบ","ครบ")</f>
        <v/>
      </c>
      <c r="J674" s="8">
        <f>IF(G674="","ไม่ครบ","ครบ")</f>
        <v/>
      </c>
      <c r="K674" s="8">
        <f>IF(OR(F674="",G674=""),"ไม่ผ่าน",IF(H674&gt;=90,"ผ่าน","ไม่ผ่าน"))</f>
        <v/>
      </c>
      <c r="L674" s="8">
        <f>IF(K674="ผ่าน",1,0)</f>
        <v/>
      </c>
      <c r="N674" s="7" t="n"/>
    </row>
    <row r="675">
      <c r="F675" s="7" t="n"/>
      <c r="G675" s="7" t="n"/>
      <c r="H675" s="8">
        <f>IF(OR(F675="",G675=""),"",MAX(0,ROUND((G675-F675)*1440,0)))</f>
        <v/>
      </c>
      <c r="I675" s="8">
        <f>IF(F675="","ไม่ครบ","ครบ")</f>
        <v/>
      </c>
      <c r="J675" s="8">
        <f>IF(G675="","ไม่ครบ","ครบ")</f>
        <v/>
      </c>
      <c r="K675" s="8">
        <f>IF(OR(F675="",G675=""),"ไม่ผ่าน",IF(H675&gt;=90,"ผ่าน","ไม่ผ่าน"))</f>
        <v/>
      </c>
      <c r="L675" s="8">
        <f>IF(K675="ผ่าน",1,0)</f>
        <v/>
      </c>
      <c r="N675" s="7" t="n"/>
    </row>
    <row r="676">
      <c r="F676" s="7" t="n"/>
      <c r="G676" s="7" t="n"/>
      <c r="H676" s="8">
        <f>IF(OR(F676="",G676=""),"",MAX(0,ROUND((G676-F676)*1440,0)))</f>
        <v/>
      </c>
      <c r="I676" s="8">
        <f>IF(F676="","ไม่ครบ","ครบ")</f>
        <v/>
      </c>
      <c r="J676" s="8">
        <f>IF(G676="","ไม่ครบ","ครบ")</f>
        <v/>
      </c>
      <c r="K676" s="8">
        <f>IF(OR(F676="",G676=""),"ไม่ผ่าน",IF(H676&gt;=90,"ผ่าน","ไม่ผ่าน"))</f>
        <v/>
      </c>
      <c r="L676" s="8">
        <f>IF(K676="ผ่าน",1,0)</f>
        <v/>
      </c>
      <c r="N676" s="7" t="n"/>
    </row>
    <row r="677">
      <c r="F677" s="7" t="n"/>
      <c r="G677" s="7" t="n"/>
      <c r="H677" s="8">
        <f>IF(OR(F677="",G677=""),"",MAX(0,ROUND((G677-F677)*1440,0)))</f>
        <v/>
      </c>
      <c r="I677" s="8">
        <f>IF(F677="","ไม่ครบ","ครบ")</f>
        <v/>
      </c>
      <c r="J677" s="8">
        <f>IF(G677="","ไม่ครบ","ครบ")</f>
        <v/>
      </c>
      <c r="K677" s="8">
        <f>IF(OR(F677="",G677=""),"ไม่ผ่าน",IF(H677&gt;=90,"ผ่าน","ไม่ผ่าน"))</f>
        <v/>
      </c>
      <c r="L677" s="8">
        <f>IF(K677="ผ่าน",1,0)</f>
        <v/>
      </c>
      <c r="N677" s="7" t="n"/>
    </row>
    <row r="678">
      <c r="F678" s="7" t="n"/>
      <c r="G678" s="7" t="n"/>
      <c r="H678" s="8">
        <f>IF(OR(F678="",G678=""),"",MAX(0,ROUND((G678-F678)*1440,0)))</f>
        <v/>
      </c>
      <c r="I678" s="8">
        <f>IF(F678="","ไม่ครบ","ครบ")</f>
        <v/>
      </c>
      <c r="J678" s="8">
        <f>IF(G678="","ไม่ครบ","ครบ")</f>
        <v/>
      </c>
      <c r="K678" s="8">
        <f>IF(OR(F678="",G678=""),"ไม่ผ่าน",IF(H678&gt;=90,"ผ่าน","ไม่ผ่าน"))</f>
        <v/>
      </c>
      <c r="L678" s="8">
        <f>IF(K678="ผ่าน",1,0)</f>
        <v/>
      </c>
      <c r="N678" s="7" t="n"/>
    </row>
    <row r="679">
      <c r="F679" s="7" t="n"/>
      <c r="G679" s="7" t="n"/>
      <c r="H679" s="8">
        <f>IF(OR(F679="",G679=""),"",MAX(0,ROUND((G679-F679)*1440,0)))</f>
        <v/>
      </c>
      <c r="I679" s="8">
        <f>IF(F679="","ไม่ครบ","ครบ")</f>
        <v/>
      </c>
      <c r="J679" s="8">
        <f>IF(G679="","ไม่ครบ","ครบ")</f>
        <v/>
      </c>
      <c r="K679" s="8">
        <f>IF(OR(F679="",G679=""),"ไม่ผ่าน",IF(H679&gt;=90,"ผ่าน","ไม่ผ่าน"))</f>
        <v/>
      </c>
      <c r="L679" s="8">
        <f>IF(K679="ผ่าน",1,0)</f>
        <v/>
      </c>
      <c r="N679" s="7" t="n"/>
    </row>
    <row r="680">
      <c r="F680" s="7" t="n"/>
      <c r="G680" s="7" t="n"/>
      <c r="H680" s="8">
        <f>IF(OR(F680="",G680=""),"",MAX(0,ROUND((G680-F680)*1440,0)))</f>
        <v/>
      </c>
      <c r="I680" s="8">
        <f>IF(F680="","ไม่ครบ","ครบ")</f>
        <v/>
      </c>
      <c r="J680" s="8">
        <f>IF(G680="","ไม่ครบ","ครบ")</f>
        <v/>
      </c>
      <c r="K680" s="8">
        <f>IF(OR(F680="",G680=""),"ไม่ผ่าน",IF(H680&gt;=90,"ผ่าน","ไม่ผ่าน"))</f>
        <v/>
      </c>
      <c r="L680" s="8">
        <f>IF(K680="ผ่าน",1,0)</f>
        <v/>
      </c>
      <c r="N680" s="7" t="n"/>
    </row>
    <row r="681">
      <c r="F681" s="7" t="n"/>
      <c r="G681" s="7" t="n"/>
      <c r="H681" s="8">
        <f>IF(OR(F681="",G681=""),"",MAX(0,ROUND((G681-F681)*1440,0)))</f>
        <v/>
      </c>
      <c r="I681" s="8">
        <f>IF(F681="","ไม่ครบ","ครบ")</f>
        <v/>
      </c>
      <c r="J681" s="8">
        <f>IF(G681="","ไม่ครบ","ครบ")</f>
        <v/>
      </c>
      <c r="K681" s="8">
        <f>IF(OR(F681="",G681=""),"ไม่ผ่าน",IF(H681&gt;=90,"ผ่าน","ไม่ผ่าน"))</f>
        <v/>
      </c>
      <c r="L681" s="8">
        <f>IF(K681="ผ่าน",1,0)</f>
        <v/>
      </c>
      <c r="N681" s="7" t="n"/>
    </row>
    <row r="682">
      <c r="F682" s="7" t="n"/>
      <c r="G682" s="7" t="n"/>
      <c r="H682" s="8">
        <f>IF(OR(F682="",G682=""),"",MAX(0,ROUND((G682-F682)*1440,0)))</f>
        <v/>
      </c>
      <c r="I682" s="8">
        <f>IF(F682="","ไม่ครบ","ครบ")</f>
        <v/>
      </c>
      <c r="J682" s="8">
        <f>IF(G682="","ไม่ครบ","ครบ")</f>
        <v/>
      </c>
      <c r="K682" s="8">
        <f>IF(OR(F682="",G682=""),"ไม่ผ่าน",IF(H682&gt;=90,"ผ่าน","ไม่ผ่าน"))</f>
        <v/>
      </c>
      <c r="L682" s="8">
        <f>IF(K682="ผ่าน",1,0)</f>
        <v/>
      </c>
      <c r="N682" s="7" t="n"/>
    </row>
    <row r="683">
      <c r="F683" s="7" t="n"/>
      <c r="G683" s="7" t="n"/>
      <c r="H683" s="8">
        <f>IF(OR(F683="",G683=""),"",MAX(0,ROUND((G683-F683)*1440,0)))</f>
        <v/>
      </c>
      <c r="I683" s="8">
        <f>IF(F683="","ไม่ครบ","ครบ")</f>
        <v/>
      </c>
      <c r="J683" s="8">
        <f>IF(G683="","ไม่ครบ","ครบ")</f>
        <v/>
      </c>
      <c r="K683" s="8">
        <f>IF(OR(F683="",G683=""),"ไม่ผ่าน",IF(H683&gt;=90,"ผ่าน","ไม่ผ่าน"))</f>
        <v/>
      </c>
      <c r="L683" s="8">
        <f>IF(K683="ผ่าน",1,0)</f>
        <v/>
      </c>
      <c r="N683" s="7" t="n"/>
    </row>
    <row r="684">
      <c r="F684" s="7" t="n"/>
      <c r="G684" s="7" t="n"/>
      <c r="H684" s="8">
        <f>IF(OR(F684="",G684=""),"",MAX(0,ROUND((G684-F684)*1440,0)))</f>
        <v/>
      </c>
      <c r="I684" s="8">
        <f>IF(F684="","ไม่ครบ","ครบ")</f>
        <v/>
      </c>
      <c r="J684" s="8">
        <f>IF(G684="","ไม่ครบ","ครบ")</f>
        <v/>
      </c>
      <c r="K684" s="8">
        <f>IF(OR(F684="",G684=""),"ไม่ผ่าน",IF(H684&gt;=90,"ผ่าน","ไม่ผ่าน"))</f>
        <v/>
      </c>
      <c r="L684" s="8">
        <f>IF(K684="ผ่าน",1,0)</f>
        <v/>
      </c>
      <c r="N684" s="7" t="n"/>
    </row>
    <row r="685">
      <c r="F685" s="7" t="n"/>
      <c r="G685" s="7" t="n"/>
      <c r="H685" s="8">
        <f>IF(OR(F685="",G685=""),"",MAX(0,ROUND((G685-F685)*1440,0)))</f>
        <v/>
      </c>
      <c r="I685" s="8">
        <f>IF(F685="","ไม่ครบ","ครบ")</f>
        <v/>
      </c>
      <c r="J685" s="8">
        <f>IF(G685="","ไม่ครบ","ครบ")</f>
        <v/>
      </c>
      <c r="K685" s="8">
        <f>IF(OR(F685="",G685=""),"ไม่ผ่าน",IF(H685&gt;=90,"ผ่าน","ไม่ผ่าน"))</f>
        <v/>
      </c>
      <c r="L685" s="8">
        <f>IF(K685="ผ่าน",1,0)</f>
        <v/>
      </c>
      <c r="N685" s="7" t="n"/>
    </row>
    <row r="686">
      <c r="F686" s="7" t="n"/>
      <c r="G686" s="7" t="n"/>
      <c r="H686" s="8">
        <f>IF(OR(F686="",G686=""),"",MAX(0,ROUND((G686-F686)*1440,0)))</f>
        <v/>
      </c>
      <c r="I686" s="8">
        <f>IF(F686="","ไม่ครบ","ครบ")</f>
        <v/>
      </c>
      <c r="J686" s="8">
        <f>IF(G686="","ไม่ครบ","ครบ")</f>
        <v/>
      </c>
      <c r="K686" s="8">
        <f>IF(OR(F686="",G686=""),"ไม่ผ่าน",IF(H686&gt;=90,"ผ่าน","ไม่ผ่าน"))</f>
        <v/>
      </c>
      <c r="L686" s="8">
        <f>IF(K686="ผ่าน",1,0)</f>
        <v/>
      </c>
      <c r="N686" s="7" t="n"/>
    </row>
    <row r="687">
      <c r="F687" s="7" t="n"/>
      <c r="G687" s="7" t="n"/>
      <c r="H687" s="8">
        <f>IF(OR(F687="",G687=""),"",MAX(0,ROUND((G687-F687)*1440,0)))</f>
        <v/>
      </c>
      <c r="I687" s="8">
        <f>IF(F687="","ไม่ครบ","ครบ")</f>
        <v/>
      </c>
      <c r="J687" s="8">
        <f>IF(G687="","ไม่ครบ","ครบ")</f>
        <v/>
      </c>
      <c r="K687" s="8">
        <f>IF(OR(F687="",G687=""),"ไม่ผ่าน",IF(H687&gt;=90,"ผ่าน","ไม่ผ่าน"))</f>
        <v/>
      </c>
      <c r="L687" s="8">
        <f>IF(K687="ผ่าน",1,0)</f>
        <v/>
      </c>
      <c r="N687" s="7" t="n"/>
    </row>
    <row r="688">
      <c r="F688" s="7" t="n"/>
      <c r="G688" s="7" t="n"/>
      <c r="H688" s="8">
        <f>IF(OR(F688="",G688=""),"",MAX(0,ROUND((G688-F688)*1440,0)))</f>
        <v/>
      </c>
      <c r="I688" s="8">
        <f>IF(F688="","ไม่ครบ","ครบ")</f>
        <v/>
      </c>
      <c r="J688" s="8">
        <f>IF(G688="","ไม่ครบ","ครบ")</f>
        <v/>
      </c>
      <c r="K688" s="8">
        <f>IF(OR(F688="",G688=""),"ไม่ผ่าน",IF(H688&gt;=90,"ผ่าน","ไม่ผ่าน"))</f>
        <v/>
      </c>
      <c r="L688" s="8">
        <f>IF(K688="ผ่าน",1,0)</f>
        <v/>
      </c>
      <c r="N688" s="7" t="n"/>
    </row>
    <row r="689">
      <c r="F689" s="7" t="n"/>
      <c r="G689" s="7" t="n"/>
      <c r="H689" s="8">
        <f>IF(OR(F689="",G689=""),"",MAX(0,ROUND((G689-F689)*1440,0)))</f>
        <v/>
      </c>
      <c r="I689" s="8">
        <f>IF(F689="","ไม่ครบ","ครบ")</f>
        <v/>
      </c>
      <c r="J689" s="8">
        <f>IF(G689="","ไม่ครบ","ครบ")</f>
        <v/>
      </c>
      <c r="K689" s="8">
        <f>IF(OR(F689="",G689=""),"ไม่ผ่าน",IF(H689&gt;=90,"ผ่าน","ไม่ผ่าน"))</f>
        <v/>
      </c>
      <c r="L689" s="8">
        <f>IF(K689="ผ่าน",1,0)</f>
        <v/>
      </c>
      <c r="N689" s="7" t="n"/>
    </row>
    <row r="690">
      <c r="F690" s="7" t="n"/>
      <c r="G690" s="7" t="n"/>
      <c r="H690" s="8">
        <f>IF(OR(F690="",G690=""),"",MAX(0,ROUND((G690-F690)*1440,0)))</f>
        <v/>
      </c>
      <c r="I690" s="8">
        <f>IF(F690="","ไม่ครบ","ครบ")</f>
        <v/>
      </c>
      <c r="J690" s="8">
        <f>IF(G690="","ไม่ครบ","ครบ")</f>
        <v/>
      </c>
      <c r="K690" s="8">
        <f>IF(OR(F690="",G690=""),"ไม่ผ่าน",IF(H690&gt;=90,"ผ่าน","ไม่ผ่าน"))</f>
        <v/>
      </c>
      <c r="L690" s="8">
        <f>IF(K690="ผ่าน",1,0)</f>
        <v/>
      </c>
      <c r="N690" s="7" t="n"/>
    </row>
    <row r="691">
      <c r="F691" s="7" t="n"/>
      <c r="G691" s="7" t="n"/>
      <c r="H691" s="8">
        <f>IF(OR(F691="",G691=""),"",MAX(0,ROUND((G691-F691)*1440,0)))</f>
        <v/>
      </c>
      <c r="I691" s="8">
        <f>IF(F691="","ไม่ครบ","ครบ")</f>
        <v/>
      </c>
      <c r="J691" s="8">
        <f>IF(G691="","ไม่ครบ","ครบ")</f>
        <v/>
      </c>
      <c r="K691" s="8">
        <f>IF(OR(F691="",G691=""),"ไม่ผ่าน",IF(H691&gt;=90,"ผ่าน","ไม่ผ่าน"))</f>
        <v/>
      </c>
      <c r="L691" s="8">
        <f>IF(K691="ผ่าน",1,0)</f>
        <v/>
      </c>
      <c r="N691" s="7" t="n"/>
    </row>
    <row r="692">
      <c r="F692" s="7" t="n"/>
      <c r="G692" s="7" t="n"/>
      <c r="H692" s="8">
        <f>IF(OR(F692="",G692=""),"",MAX(0,ROUND((G692-F692)*1440,0)))</f>
        <v/>
      </c>
      <c r="I692" s="8">
        <f>IF(F692="","ไม่ครบ","ครบ")</f>
        <v/>
      </c>
      <c r="J692" s="8">
        <f>IF(G692="","ไม่ครบ","ครบ")</f>
        <v/>
      </c>
      <c r="K692" s="8">
        <f>IF(OR(F692="",G692=""),"ไม่ผ่าน",IF(H692&gt;=90,"ผ่าน","ไม่ผ่าน"))</f>
        <v/>
      </c>
      <c r="L692" s="8">
        <f>IF(K692="ผ่าน",1,0)</f>
        <v/>
      </c>
      <c r="N692" s="7" t="n"/>
    </row>
    <row r="693">
      <c r="F693" s="7" t="n"/>
      <c r="G693" s="7" t="n"/>
      <c r="H693" s="8">
        <f>IF(OR(F693="",G693=""),"",MAX(0,ROUND((G693-F693)*1440,0)))</f>
        <v/>
      </c>
      <c r="I693" s="8">
        <f>IF(F693="","ไม่ครบ","ครบ")</f>
        <v/>
      </c>
      <c r="J693" s="8">
        <f>IF(G693="","ไม่ครบ","ครบ")</f>
        <v/>
      </c>
      <c r="K693" s="8">
        <f>IF(OR(F693="",G693=""),"ไม่ผ่าน",IF(H693&gt;=90,"ผ่าน","ไม่ผ่าน"))</f>
        <v/>
      </c>
      <c r="L693" s="8">
        <f>IF(K693="ผ่าน",1,0)</f>
        <v/>
      </c>
      <c r="N693" s="7" t="n"/>
    </row>
    <row r="694">
      <c r="F694" s="7" t="n"/>
      <c r="G694" s="7" t="n"/>
      <c r="H694" s="8">
        <f>IF(OR(F694="",G694=""),"",MAX(0,ROUND((G694-F694)*1440,0)))</f>
        <v/>
      </c>
      <c r="I694" s="8">
        <f>IF(F694="","ไม่ครบ","ครบ")</f>
        <v/>
      </c>
      <c r="J694" s="8">
        <f>IF(G694="","ไม่ครบ","ครบ")</f>
        <v/>
      </c>
      <c r="K694" s="8">
        <f>IF(OR(F694="",G694=""),"ไม่ผ่าน",IF(H694&gt;=90,"ผ่าน","ไม่ผ่าน"))</f>
        <v/>
      </c>
      <c r="L694" s="8">
        <f>IF(K694="ผ่าน",1,0)</f>
        <v/>
      </c>
      <c r="N694" s="7" t="n"/>
    </row>
    <row r="695">
      <c r="F695" s="7" t="n"/>
      <c r="G695" s="7" t="n"/>
      <c r="H695" s="8">
        <f>IF(OR(F695="",G695=""),"",MAX(0,ROUND((G695-F695)*1440,0)))</f>
        <v/>
      </c>
      <c r="I695" s="8">
        <f>IF(F695="","ไม่ครบ","ครบ")</f>
        <v/>
      </c>
      <c r="J695" s="8">
        <f>IF(G695="","ไม่ครบ","ครบ")</f>
        <v/>
      </c>
      <c r="K695" s="8">
        <f>IF(OR(F695="",G695=""),"ไม่ผ่าน",IF(H695&gt;=90,"ผ่าน","ไม่ผ่าน"))</f>
        <v/>
      </c>
      <c r="L695" s="8">
        <f>IF(K695="ผ่าน",1,0)</f>
        <v/>
      </c>
      <c r="N695" s="7" t="n"/>
    </row>
    <row r="696">
      <c r="F696" s="7" t="n"/>
      <c r="G696" s="7" t="n"/>
      <c r="H696" s="8">
        <f>IF(OR(F696="",G696=""),"",MAX(0,ROUND((G696-F696)*1440,0)))</f>
        <v/>
      </c>
      <c r="I696" s="8">
        <f>IF(F696="","ไม่ครบ","ครบ")</f>
        <v/>
      </c>
      <c r="J696" s="8">
        <f>IF(G696="","ไม่ครบ","ครบ")</f>
        <v/>
      </c>
      <c r="K696" s="8">
        <f>IF(OR(F696="",G696=""),"ไม่ผ่าน",IF(H696&gt;=90,"ผ่าน","ไม่ผ่าน"))</f>
        <v/>
      </c>
      <c r="L696" s="8">
        <f>IF(K696="ผ่าน",1,0)</f>
        <v/>
      </c>
      <c r="N696" s="7" t="n"/>
    </row>
    <row r="697">
      <c r="F697" s="7" t="n"/>
      <c r="G697" s="7" t="n"/>
      <c r="H697" s="8">
        <f>IF(OR(F697="",G697=""),"",MAX(0,ROUND((G697-F697)*1440,0)))</f>
        <v/>
      </c>
      <c r="I697" s="8">
        <f>IF(F697="","ไม่ครบ","ครบ")</f>
        <v/>
      </c>
      <c r="J697" s="8">
        <f>IF(G697="","ไม่ครบ","ครบ")</f>
        <v/>
      </c>
      <c r="K697" s="8">
        <f>IF(OR(F697="",G697=""),"ไม่ผ่าน",IF(H697&gt;=90,"ผ่าน","ไม่ผ่าน"))</f>
        <v/>
      </c>
      <c r="L697" s="8">
        <f>IF(K697="ผ่าน",1,0)</f>
        <v/>
      </c>
      <c r="N697" s="7" t="n"/>
    </row>
    <row r="698">
      <c r="F698" s="7" t="n"/>
      <c r="G698" s="7" t="n"/>
      <c r="H698" s="8">
        <f>IF(OR(F698="",G698=""),"",MAX(0,ROUND((G698-F698)*1440,0)))</f>
        <v/>
      </c>
      <c r="I698" s="8">
        <f>IF(F698="","ไม่ครบ","ครบ")</f>
        <v/>
      </c>
      <c r="J698" s="8">
        <f>IF(G698="","ไม่ครบ","ครบ")</f>
        <v/>
      </c>
      <c r="K698" s="8">
        <f>IF(OR(F698="",G698=""),"ไม่ผ่าน",IF(H698&gt;=90,"ผ่าน","ไม่ผ่าน"))</f>
        <v/>
      </c>
      <c r="L698" s="8">
        <f>IF(K698="ผ่าน",1,0)</f>
        <v/>
      </c>
      <c r="N698" s="7" t="n"/>
    </row>
    <row r="699">
      <c r="F699" s="7" t="n"/>
      <c r="G699" s="7" t="n"/>
      <c r="H699" s="8">
        <f>IF(OR(F699="",G699=""),"",MAX(0,ROUND((G699-F699)*1440,0)))</f>
        <v/>
      </c>
      <c r="I699" s="8">
        <f>IF(F699="","ไม่ครบ","ครบ")</f>
        <v/>
      </c>
      <c r="J699" s="8">
        <f>IF(G699="","ไม่ครบ","ครบ")</f>
        <v/>
      </c>
      <c r="K699" s="8">
        <f>IF(OR(F699="",G699=""),"ไม่ผ่าน",IF(H699&gt;=90,"ผ่าน","ไม่ผ่าน"))</f>
        <v/>
      </c>
      <c r="L699" s="8">
        <f>IF(K699="ผ่าน",1,0)</f>
        <v/>
      </c>
      <c r="N699" s="7" t="n"/>
    </row>
    <row r="700">
      <c r="F700" s="7" t="n"/>
      <c r="G700" s="7" t="n"/>
      <c r="H700" s="8">
        <f>IF(OR(F700="",G700=""),"",MAX(0,ROUND((G700-F700)*1440,0)))</f>
        <v/>
      </c>
      <c r="I700" s="8">
        <f>IF(F700="","ไม่ครบ","ครบ")</f>
        <v/>
      </c>
      <c r="J700" s="8">
        <f>IF(G700="","ไม่ครบ","ครบ")</f>
        <v/>
      </c>
      <c r="K700" s="8">
        <f>IF(OR(F700="",G700=""),"ไม่ผ่าน",IF(H700&gt;=90,"ผ่าน","ไม่ผ่าน"))</f>
        <v/>
      </c>
      <c r="L700" s="8">
        <f>IF(K700="ผ่าน",1,0)</f>
        <v/>
      </c>
      <c r="N700" s="7" t="n"/>
    </row>
    <row r="701">
      <c r="F701" s="7" t="n"/>
      <c r="G701" s="7" t="n"/>
      <c r="H701" s="8">
        <f>IF(OR(F701="",G701=""),"",MAX(0,ROUND((G701-F701)*1440,0)))</f>
        <v/>
      </c>
      <c r="I701" s="8">
        <f>IF(F701="","ไม่ครบ","ครบ")</f>
        <v/>
      </c>
      <c r="J701" s="8">
        <f>IF(G701="","ไม่ครบ","ครบ")</f>
        <v/>
      </c>
      <c r="K701" s="8">
        <f>IF(OR(F701="",G701=""),"ไม่ผ่าน",IF(H701&gt;=90,"ผ่าน","ไม่ผ่าน"))</f>
        <v/>
      </c>
      <c r="L701" s="8">
        <f>IF(K701="ผ่าน",1,0)</f>
        <v/>
      </c>
      <c r="N701" s="7" t="n"/>
    </row>
    <row r="702">
      <c r="F702" s="7" t="n"/>
      <c r="G702" s="7" t="n"/>
      <c r="H702" s="8">
        <f>IF(OR(F702="",G702=""),"",MAX(0,ROUND((G702-F702)*1440,0)))</f>
        <v/>
      </c>
      <c r="I702" s="8">
        <f>IF(F702="","ไม่ครบ","ครบ")</f>
        <v/>
      </c>
      <c r="J702" s="8">
        <f>IF(G702="","ไม่ครบ","ครบ")</f>
        <v/>
      </c>
      <c r="K702" s="8">
        <f>IF(OR(F702="",G702=""),"ไม่ผ่าน",IF(H702&gt;=90,"ผ่าน","ไม่ผ่าน"))</f>
        <v/>
      </c>
      <c r="L702" s="8">
        <f>IF(K702="ผ่าน",1,0)</f>
        <v/>
      </c>
      <c r="N702" s="7" t="n"/>
    </row>
    <row r="703">
      <c r="F703" s="7" t="n"/>
      <c r="G703" s="7" t="n"/>
      <c r="H703" s="8">
        <f>IF(OR(F703="",G703=""),"",MAX(0,ROUND((G703-F703)*1440,0)))</f>
        <v/>
      </c>
      <c r="I703" s="8">
        <f>IF(F703="","ไม่ครบ","ครบ")</f>
        <v/>
      </c>
      <c r="J703" s="8">
        <f>IF(G703="","ไม่ครบ","ครบ")</f>
        <v/>
      </c>
      <c r="K703" s="8">
        <f>IF(OR(F703="",G703=""),"ไม่ผ่าน",IF(H703&gt;=90,"ผ่าน","ไม่ผ่าน"))</f>
        <v/>
      </c>
      <c r="L703" s="8">
        <f>IF(K703="ผ่าน",1,0)</f>
        <v/>
      </c>
      <c r="N703" s="7" t="n"/>
    </row>
    <row r="704">
      <c r="F704" s="7" t="n"/>
      <c r="G704" s="7" t="n"/>
      <c r="H704" s="8">
        <f>IF(OR(F704="",G704=""),"",MAX(0,ROUND((G704-F704)*1440,0)))</f>
        <v/>
      </c>
      <c r="I704" s="8">
        <f>IF(F704="","ไม่ครบ","ครบ")</f>
        <v/>
      </c>
      <c r="J704" s="8">
        <f>IF(G704="","ไม่ครบ","ครบ")</f>
        <v/>
      </c>
      <c r="K704" s="8">
        <f>IF(OR(F704="",G704=""),"ไม่ผ่าน",IF(H704&gt;=90,"ผ่าน","ไม่ผ่าน"))</f>
        <v/>
      </c>
      <c r="L704" s="8">
        <f>IF(K704="ผ่าน",1,0)</f>
        <v/>
      </c>
      <c r="N704" s="7" t="n"/>
    </row>
    <row r="705">
      <c r="F705" s="7" t="n"/>
      <c r="G705" s="7" t="n"/>
      <c r="H705" s="8">
        <f>IF(OR(F705="",G705=""),"",MAX(0,ROUND((G705-F705)*1440,0)))</f>
        <v/>
      </c>
      <c r="I705" s="8">
        <f>IF(F705="","ไม่ครบ","ครบ")</f>
        <v/>
      </c>
      <c r="J705" s="8">
        <f>IF(G705="","ไม่ครบ","ครบ")</f>
        <v/>
      </c>
      <c r="K705" s="8">
        <f>IF(OR(F705="",G705=""),"ไม่ผ่าน",IF(H705&gt;=90,"ผ่าน","ไม่ผ่าน"))</f>
        <v/>
      </c>
      <c r="L705" s="8">
        <f>IF(K705="ผ่าน",1,0)</f>
        <v/>
      </c>
      <c r="N705" s="7" t="n"/>
    </row>
    <row r="706">
      <c r="F706" s="7" t="n"/>
      <c r="G706" s="7" t="n"/>
      <c r="H706" s="8">
        <f>IF(OR(F706="",G706=""),"",MAX(0,ROUND((G706-F706)*1440,0)))</f>
        <v/>
      </c>
      <c r="I706" s="8">
        <f>IF(F706="","ไม่ครบ","ครบ")</f>
        <v/>
      </c>
      <c r="J706" s="8">
        <f>IF(G706="","ไม่ครบ","ครบ")</f>
        <v/>
      </c>
      <c r="K706" s="8">
        <f>IF(OR(F706="",G706=""),"ไม่ผ่าน",IF(H706&gt;=90,"ผ่าน","ไม่ผ่าน"))</f>
        <v/>
      </c>
      <c r="L706" s="8">
        <f>IF(K706="ผ่าน",1,0)</f>
        <v/>
      </c>
      <c r="N706" s="7" t="n"/>
    </row>
    <row r="707">
      <c r="F707" s="7" t="n"/>
      <c r="G707" s="7" t="n"/>
      <c r="H707" s="8">
        <f>IF(OR(F707="",G707=""),"",MAX(0,ROUND((G707-F707)*1440,0)))</f>
        <v/>
      </c>
      <c r="I707" s="8">
        <f>IF(F707="","ไม่ครบ","ครบ")</f>
        <v/>
      </c>
      <c r="J707" s="8">
        <f>IF(G707="","ไม่ครบ","ครบ")</f>
        <v/>
      </c>
      <c r="K707" s="8">
        <f>IF(OR(F707="",G707=""),"ไม่ผ่าน",IF(H707&gt;=90,"ผ่าน","ไม่ผ่าน"))</f>
        <v/>
      </c>
      <c r="L707" s="8">
        <f>IF(K707="ผ่าน",1,0)</f>
        <v/>
      </c>
      <c r="N707" s="7" t="n"/>
    </row>
    <row r="708">
      <c r="F708" s="7" t="n"/>
      <c r="G708" s="7" t="n"/>
      <c r="H708" s="8">
        <f>IF(OR(F708="",G708=""),"",MAX(0,ROUND((G708-F708)*1440,0)))</f>
        <v/>
      </c>
      <c r="I708" s="8">
        <f>IF(F708="","ไม่ครบ","ครบ")</f>
        <v/>
      </c>
      <c r="J708" s="8">
        <f>IF(G708="","ไม่ครบ","ครบ")</f>
        <v/>
      </c>
      <c r="K708" s="8">
        <f>IF(OR(F708="",G708=""),"ไม่ผ่าน",IF(H708&gt;=90,"ผ่าน","ไม่ผ่าน"))</f>
        <v/>
      </c>
      <c r="L708" s="8">
        <f>IF(K708="ผ่าน",1,0)</f>
        <v/>
      </c>
      <c r="N708" s="7" t="n"/>
    </row>
    <row r="709">
      <c r="F709" s="7" t="n"/>
      <c r="G709" s="7" t="n"/>
      <c r="H709" s="8">
        <f>IF(OR(F709="",G709=""),"",MAX(0,ROUND((G709-F709)*1440,0)))</f>
        <v/>
      </c>
      <c r="I709" s="8">
        <f>IF(F709="","ไม่ครบ","ครบ")</f>
        <v/>
      </c>
      <c r="J709" s="8">
        <f>IF(G709="","ไม่ครบ","ครบ")</f>
        <v/>
      </c>
      <c r="K709" s="8">
        <f>IF(OR(F709="",G709=""),"ไม่ผ่าน",IF(H709&gt;=90,"ผ่าน","ไม่ผ่าน"))</f>
        <v/>
      </c>
      <c r="L709" s="8">
        <f>IF(K709="ผ่าน",1,0)</f>
        <v/>
      </c>
      <c r="N709" s="7" t="n"/>
    </row>
    <row r="710">
      <c r="F710" s="7" t="n"/>
      <c r="G710" s="7" t="n"/>
      <c r="H710" s="8">
        <f>IF(OR(F710="",G710=""),"",MAX(0,ROUND((G710-F710)*1440,0)))</f>
        <v/>
      </c>
      <c r="I710" s="8">
        <f>IF(F710="","ไม่ครบ","ครบ")</f>
        <v/>
      </c>
      <c r="J710" s="8">
        <f>IF(G710="","ไม่ครบ","ครบ")</f>
        <v/>
      </c>
      <c r="K710" s="8">
        <f>IF(OR(F710="",G710=""),"ไม่ผ่าน",IF(H710&gt;=90,"ผ่าน","ไม่ผ่าน"))</f>
        <v/>
      </c>
      <c r="L710" s="8">
        <f>IF(K710="ผ่าน",1,0)</f>
        <v/>
      </c>
      <c r="N710" s="7" t="n"/>
    </row>
    <row r="711">
      <c r="F711" s="7" t="n"/>
      <c r="G711" s="7" t="n"/>
      <c r="H711" s="8">
        <f>IF(OR(F711="",G711=""),"",MAX(0,ROUND((G711-F711)*1440,0)))</f>
        <v/>
      </c>
      <c r="I711" s="8">
        <f>IF(F711="","ไม่ครบ","ครบ")</f>
        <v/>
      </c>
      <c r="J711" s="8">
        <f>IF(G711="","ไม่ครบ","ครบ")</f>
        <v/>
      </c>
      <c r="K711" s="8">
        <f>IF(OR(F711="",G711=""),"ไม่ผ่าน",IF(H711&gt;=90,"ผ่าน","ไม่ผ่าน"))</f>
        <v/>
      </c>
      <c r="L711" s="8">
        <f>IF(K711="ผ่าน",1,0)</f>
        <v/>
      </c>
      <c r="N711" s="7" t="n"/>
    </row>
    <row r="712">
      <c r="F712" s="7" t="n"/>
      <c r="G712" s="7" t="n"/>
      <c r="H712" s="8">
        <f>IF(OR(F712="",G712=""),"",MAX(0,ROUND((G712-F712)*1440,0)))</f>
        <v/>
      </c>
      <c r="I712" s="8">
        <f>IF(F712="","ไม่ครบ","ครบ")</f>
        <v/>
      </c>
      <c r="J712" s="8">
        <f>IF(G712="","ไม่ครบ","ครบ")</f>
        <v/>
      </c>
      <c r="K712" s="8">
        <f>IF(OR(F712="",G712=""),"ไม่ผ่าน",IF(H712&gt;=90,"ผ่าน","ไม่ผ่าน"))</f>
        <v/>
      </c>
      <c r="L712" s="8">
        <f>IF(K712="ผ่าน",1,0)</f>
        <v/>
      </c>
      <c r="N712" s="7" t="n"/>
    </row>
    <row r="713">
      <c r="F713" s="7" t="n"/>
      <c r="G713" s="7" t="n"/>
      <c r="H713" s="8">
        <f>IF(OR(F713="",G713=""),"",MAX(0,ROUND((G713-F713)*1440,0)))</f>
        <v/>
      </c>
      <c r="I713" s="8">
        <f>IF(F713="","ไม่ครบ","ครบ")</f>
        <v/>
      </c>
      <c r="J713" s="8">
        <f>IF(G713="","ไม่ครบ","ครบ")</f>
        <v/>
      </c>
      <c r="K713" s="8">
        <f>IF(OR(F713="",G713=""),"ไม่ผ่าน",IF(H713&gt;=90,"ผ่าน","ไม่ผ่าน"))</f>
        <v/>
      </c>
      <c r="L713" s="8">
        <f>IF(K713="ผ่าน",1,0)</f>
        <v/>
      </c>
      <c r="N713" s="7" t="n"/>
    </row>
    <row r="714">
      <c r="F714" s="7" t="n"/>
      <c r="G714" s="7" t="n"/>
      <c r="H714" s="8">
        <f>IF(OR(F714="",G714=""),"",MAX(0,ROUND((G714-F714)*1440,0)))</f>
        <v/>
      </c>
      <c r="I714" s="8">
        <f>IF(F714="","ไม่ครบ","ครบ")</f>
        <v/>
      </c>
      <c r="J714" s="8">
        <f>IF(G714="","ไม่ครบ","ครบ")</f>
        <v/>
      </c>
      <c r="K714" s="8">
        <f>IF(OR(F714="",G714=""),"ไม่ผ่าน",IF(H714&gt;=90,"ผ่าน","ไม่ผ่าน"))</f>
        <v/>
      </c>
      <c r="L714" s="8">
        <f>IF(K714="ผ่าน",1,0)</f>
        <v/>
      </c>
      <c r="N714" s="7" t="n"/>
    </row>
    <row r="715">
      <c r="F715" s="7" t="n"/>
      <c r="G715" s="7" t="n"/>
      <c r="H715" s="8">
        <f>IF(OR(F715="",G715=""),"",MAX(0,ROUND((G715-F715)*1440,0)))</f>
        <v/>
      </c>
      <c r="I715" s="8">
        <f>IF(F715="","ไม่ครบ","ครบ")</f>
        <v/>
      </c>
      <c r="J715" s="8">
        <f>IF(G715="","ไม่ครบ","ครบ")</f>
        <v/>
      </c>
      <c r="K715" s="8">
        <f>IF(OR(F715="",G715=""),"ไม่ผ่าน",IF(H715&gt;=90,"ผ่าน","ไม่ผ่าน"))</f>
        <v/>
      </c>
      <c r="L715" s="8">
        <f>IF(K715="ผ่าน",1,0)</f>
        <v/>
      </c>
      <c r="N715" s="7" t="n"/>
    </row>
    <row r="716">
      <c r="F716" s="7" t="n"/>
      <c r="G716" s="7" t="n"/>
      <c r="H716" s="8">
        <f>IF(OR(F716="",G716=""),"",MAX(0,ROUND((G716-F716)*1440,0)))</f>
        <v/>
      </c>
      <c r="I716" s="8">
        <f>IF(F716="","ไม่ครบ","ครบ")</f>
        <v/>
      </c>
      <c r="J716" s="8">
        <f>IF(G716="","ไม่ครบ","ครบ")</f>
        <v/>
      </c>
      <c r="K716" s="8">
        <f>IF(OR(F716="",G716=""),"ไม่ผ่าน",IF(H716&gt;=90,"ผ่าน","ไม่ผ่าน"))</f>
        <v/>
      </c>
      <c r="L716" s="8">
        <f>IF(K716="ผ่าน",1,0)</f>
        <v/>
      </c>
      <c r="N716" s="7" t="n"/>
    </row>
    <row r="717">
      <c r="F717" s="7" t="n"/>
      <c r="G717" s="7" t="n"/>
      <c r="H717" s="8">
        <f>IF(OR(F717="",G717=""),"",MAX(0,ROUND((G717-F717)*1440,0)))</f>
        <v/>
      </c>
      <c r="I717" s="8">
        <f>IF(F717="","ไม่ครบ","ครบ")</f>
        <v/>
      </c>
      <c r="J717" s="8">
        <f>IF(G717="","ไม่ครบ","ครบ")</f>
        <v/>
      </c>
      <c r="K717" s="8">
        <f>IF(OR(F717="",G717=""),"ไม่ผ่าน",IF(H717&gt;=90,"ผ่าน","ไม่ผ่าน"))</f>
        <v/>
      </c>
      <c r="L717" s="8">
        <f>IF(K717="ผ่าน",1,0)</f>
        <v/>
      </c>
      <c r="N717" s="7" t="n"/>
    </row>
    <row r="718">
      <c r="F718" s="7" t="n"/>
      <c r="G718" s="7" t="n"/>
      <c r="H718" s="8">
        <f>IF(OR(F718="",G718=""),"",MAX(0,ROUND((G718-F718)*1440,0)))</f>
        <v/>
      </c>
      <c r="I718" s="8">
        <f>IF(F718="","ไม่ครบ","ครบ")</f>
        <v/>
      </c>
      <c r="J718" s="8">
        <f>IF(G718="","ไม่ครบ","ครบ")</f>
        <v/>
      </c>
      <c r="K718" s="8">
        <f>IF(OR(F718="",G718=""),"ไม่ผ่าน",IF(H718&gt;=90,"ผ่าน","ไม่ผ่าน"))</f>
        <v/>
      </c>
      <c r="L718" s="8">
        <f>IF(K718="ผ่าน",1,0)</f>
        <v/>
      </c>
      <c r="N718" s="7" t="n"/>
    </row>
    <row r="719">
      <c r="F719" s="7" t="n"/>
      <c r="G719" s="7" t="n"/>
      <c r="H719" s="8">
        <f>IF(OR(F719="",G719=""),"",MAX(0,ROUND((G719-F719)*1440,0)))</f>
        <v/>
      </c>
      <c r="I719" s="8">
        <f>IF(F719="","ไม่ครบ","ครบ")</f>
        <v/>
      </c>
      <c r="J719" s="8">
        <f>IF(G719="","ไม่ครบ","ครบ")</f>
        <v/>
      </c>
      <c r="K719" s="8">
        <f>IF(OR(F719="",G719=""),"ไม่ผ่าน",IF(H719&gt;=90,"ผ่าน","ไม่ผ่าน"))</f>
        <v/>
      </c>
      <c r="L719" s="8">
        <f>IF(K719="ผ่าน",1,0)</f>
        <v/>
      </c>
      <c r="N719" s="7" t="n"/>
    </row>
    <row r="720">
      <c r="F720" s="7" t="n"/>
      <c r="G720" s="7" t="n"/>
      <c r="H720" s="8">
        <f>IF(OR(F720="",G720=""),"",MAX(0,ROUND((G720-F720)*1440,0)))</f>
        <v/>
      </c>
      <c r="I720" s="8">
        <f>IF(F720="","ไม่ครบ","ครบ")</f>
        <v/>
      </c>
      <c r="J720" s="8">
        <f>IF(G720="","ไม่ครบ","ครบ")</f>
        <v/>
      </c>
      <c r="K720" s="8">
        <f>IF(OR(F720="",G720=""),"ไม่ผ่าน",IF(H720&gt;=90,"ผ่าน","ไม่ผ่าน"))</f>
        <v/>
      </c>
      <c r="L720" s="8">
        <f>IF(K720="ผ่าน",1,0)</f>
        <v/>
      </c>
      <c r="N720" s="7" t="n"/>
    </row>
    <row r="721">
      <c r="F721" s="7" t="n"/>
      <c r="G721" s="7" t="n"/>
      <c r="H721" s="8">
        <f>IF(OR(F721="",G721=""),"",MAX(0,ROUND((G721-F721)*1440,0)))</f>
        <v/>
      </c>
      <c r="I721" s="8">
        <f>IF(F721="","ไม่ครบ","ครบ")</f>
        <v/>
      </c>
      <c r="J721" s="8">
        <f>IF(G721="","ไม่ครบ","ครบ")</f>
        <v/>
      </c>
      <c r="K721" s="8">
        <f>IF(OR(F721="",G721=""),"ไม่ผ่าน",IF(H721&gt;=90,"ผ่าน","ไม่ผ่าน"))</f>
        <v/>
      </c>
      <c r="L721" s="8">
        <f>IF(K721="ผ่าน",1,0)</f>
        <v/>
      </c>
      <c r="N721" s="7" t="n"/>
    </row>
    <row r="722">
      <c r="F722" s="7" t="n"/>
      <c r="G722" s="7" t="n"/>
      <c r="H722" s="8">
        <f>IF(OR(F722="",G722=""),"",MAX(0,ROUND((G722-F722)*1440,0)))</f>
        <v/>
      </c>
      <c r="I722" s="8">
        <f>IF(F722="","ไม่ครบ","ครบ")</f>
        <v/>
      </c>
      <c r="J722" s="8">
        <f>IF(G722="","ไม่ครบ","ครบ")</f>
        <v/>
      </c>
      <c r="K722" s="8">
        <f>IF(OR(F722="",G722=""),"ไม่ผ่าน",IF(H722&gt;=90,"ผ่าน","ไม่ผ่าน"))</f>
        <v/>
      </c>
      <c r="L722" s="8">
        <f>IF(K722="ผ่าน",1,0)</f>
        <v/>
      </c>
      <c r="N722" s="7" t="n"/>
    </row>
    <row r="723">
      <c r="F723" s="7" t="n"/>
      <c r="G723" s="7" t="n"/>
      <c r="H723" s="8">
        <f>IF(OR(F723="",G723=""),"",MAX(0,ROUND((G723-F723)*1440,0)))</f>
        <v/>
      </c>
      <c r="I723" s="8">
        <f>IF(F723="","ไม่ครบ","ครบ")</f>
        <v/>
      </c>
      <c r="J723" s="8">
        <f>IF(G723="","ไม่ครบ","ครบ")</f>
        <v/>
      </c>
      <c r="K723" s="8">
        <f>IF(OR(F723="",G723=""),"ไม่ผ่าน",IF(H723&gt;=90,"ผ่าน","ไม่ผ่าน"))</f>
        <v/>
      </c>
      <c r="L723" s="8">
        <f>IF(K723="ผ่าน",1,0)</f>
        <v/>
      </c>
      <c r="N723" s="7" t="n"/>
    </row>
    <row r="724">
      <c r="F724" s="7" t="n"/>
      <c r="G724" s="7" t="n"/>
      <c r="H724" s="8">
        <f>IF(OR(F724="",G724=""),"",MAX(0,ROUND((G724-F724)*1440,0)))</f>
        <v/>
      </c>
      <c r="I724" s="8">
        <f>IF(F724="","ไม่ครบ","ครบ")</f>
        <v/>
      </c>
      <c r="J724" s="8">
        <f>IF(G724="","ไม่ครบ","ครบ")</f>
        <v/>
      </c>
      <c r="K724" s="8">
        <f>IF(OR(F724="",G724=""),"ไม่ผ่าน",IF(H724&gt;=90,"ผ่าน","ไม่ผ่าน"))</f>
        <v/>
      </c>
      <c r="L724" s="8">
        <f>IF(K724="ผ่าน",1,0)</f>
        <v/>
      </c>
      <c r="N724" s="7" t="n"/>
    </row>
    <row r="725">
      <c r="F725" s="7" t="n"/>
      <c r="G725" s="7" t="n"/>
      <c r="H725" s="8">
        <f>IF(OR(F725="",G725=""),"",MAX(0,ROUND((G725-F725)*1440,0)))</f>
        <v/>
      </c>
      <c r="I725" s="8">
        <f>IF(F725="","ไม่ครบ","ครบ")</f>
        <v/>
      </c>
      <c r="J725" s="8">
        <f>IF(G725="","ไม่ครบ","ครบ")</f>
        <v/>
      </c>
      <c r="K725" s="8">
        <f>IF(OR(F725="",G725=""),"ไม่ผ่าน",IF(H725&gt;=90,"ผ่าน","ไม่ผ่าน"))</f>
        <v/>
      </c>
      <c r="L725" s="8">
        <f>IF(K725="ผ่าน",1,0)</f>
        <v/>
      </c>
      <c r="N725" s="7" t="n"/>
    </row>
    <row r="726">
      <c r="F726" s="7" t="n"/>
      <c r="G726" s="7" t="n"/>
      <c r="H726" s="8">
        <f>IF(OR(F726="",G726=""),"",MAX(0,ROUND((G726-F726)*1440,0)))</f>
        <v/>
      </c>
      <c r="I726" s="8">
        <f>IF(F726="","ไม่ครบ","ครบ")</f>
        <v/>
      </c>
      <c r="J726" s="8">
        <f>IF(G726="","ไม่ครบ","ครบ")</f>
        <v/>
      </c>
      <c r="K726" s="8">
        <f>IF(OR(F726="",G726=""),"ไม่ผ่าน",IF(H726&gt;=90,"ผ่าน","ไม่ผ่าน"))</f>
        <v/>
      </c>
      <c r="L726" s="8">
        <f>IF(K726="ผ่าน",1,0)</f>
        <v/>
      </c>
      <c r="N726" s="7" t="n"/>
    </row>
    <row r="727">
      <c r="F727" s="7" t="n"/>
      <c r="G727" s="7" t="n"/>
      <c r="H727" s="8">
        <f>IF(OR(F727="",G727=""),"",MAX(0,ROUND((G727-F727)*1440,0)))</f>
        <v/>
      </c>
      <c r="I727" s="8">
        <f>IF(F727="","ไม่ครบ","ครบ")</f>
        <v/>
      </c>
      <c r="J727" s="8">
        <f>IF(G727="","ไม่ครบ","ครบ")</f>
        <v/>
      </c>
      <c r="K727" s="8">
        <f>IF(OR(F727="",G727=""),"ไม่ผ่าน",IF(H727&gt;=90,"ผ่าน","ไม่ผ่าน"))</f>
        <v/>
      </c>
      <c r="L727" s="8">
        <f>IF(K727="ผ่าน",1,0)</f>
        <v/>
      </c>
      <c r="N727" s="7" t="n"/>
    </row>
    <row r="728">
      <c r="F728" s="7" t="n"/>
      <c r="G728" s="7" t="n"/>
      <c r="H728" s="8">
        <f>IF(OR(F728="",G728=""),"",MAX(0,ROUND((G728-F728)*1440,0)))</f>
        <v/>
      </c>
      <c r="I728" s="8">
        <f>IF(F728="","ไม่ครบ","ครบ")</f>
        <v/>
      </c>
      <c r="J728" s="8">
        <f>IF(G728="","ไม่ครบ","ครบ")</f>
        <v/>
      </c>
      <c r="K728" s="8">
        <f>IF(OR(F728="",G728=""),"ไม่ผ่าน",IF(H728&gt;=90,"ผ่าน","ไม่ผ่าน"))</f>
        <v/>
      </c>
      <c r="L728" s="8">
        <f>IF(K728="ผ่าน",1,0)</f>
        <v/>
      </c>
      <c r="N728" s="7" t="n"/>
    </row>
    <row r="729">
      <c r="F729" s="7" t="n"/>
      <c r="G729" s="7" t="n"/>
      <c r="H729" s="8">
        <f>IF(OR(F729="",G729=""),"",MAX(0,ROUND((G729-F729)*1440,0)))</f>
        <v/>
      </c>
      <c r="I729" s="8">
        <f>IF(F729="","ไม่ครบ","ครบ")</f>
        <v/>
      </c>
      <c r="J729" s="8">
        <f>IF(G729="","ไม่ครบ","ครบ")</f>
        <v/>
      </c>
      <c r="K729" s="8">
        <f>IF(OR(F729="",G729=""),"ไม่ผ่าน",IF(H729&gt;=90,"ผ่าน","ไม่ผ่าน"))</f>
        <v/>
      </c>
      <c r="L729" s="8">
        <f>IF(K729="ผ่าน",1,0)</f>
        <v/>
      </c>
      <c r="N729" s="7" t="n"/>
    </row>
    <row r="730">
      <c r="F730" s="7" t="n"/>
      <c r="G730" s="7" t="n"/>
      <c r="H730" s="8">
        <f>IF(OR(F730="",G730=""),"",MAX(0,ROUND((G730-F730)*1440,0)))</f>
        <v/>
      </c>
      <c r="I730" s="8">
        <f>IF(F730="","ไม่ครบ","ครบ")</f>
        <v/>
      </c>
      <c r="J730" s="8">
        <f>IF(G730="","ไม่ครบ","ครบ")</f>
        <v/>
      </c>
      <c r="K730" s="8">
        <f>IF(OR(F730="",G730=""),"ไม่ผ่าน",IF(H730&gt;=90,"ผ่าน","ไม่ผ่าน"))</f>
        <v/>
      </c>
      <c r="L730" s="8">
        <f>IF(K730="ผ่าน",1,0)</f>
        <v/>
      </c>
      <c r="N730" s="7" t="n"/>
    </row>
    <row r="731">
      <c r="F731" s="7" t="n"/>
      <c r="G731" s="7" t="n"/>
      <c r="H731" s="8">
        <f>IF(OR(F731="",G731=""),"",MAX(0,ROUND((G731-F731)*1440,0)))</f>
        <v/>
      </c>
      <c r="I731" s="8">
        <f>IF(F731="","ไม่ครบ","ครบ")</f>
        <v/>
      </c>
      <c r="J731" s="8">
        <f>IF(G731="","ไม่ครบ","ครบ")</f>
        <v/>
      </c>
      <c r="K731" s="8">
        <f>IF(OR(F731="",G731=""),"ไม่ผ่าน",IF(H731&gt;=90,"ผ่าน","ไม่ผ่าน"))</f>
        <v/>
      </c>
      <c r="L731" s="8">
        <f>IF(K731="ผ่าน",1,0)</f>
        <v/>
      </c>
      <c r="N731" s="7" t="n"/>
    </row>
    <row r="732">
      <c r="F732" s="7" t="n"/>
      <c r="G732" s="7" t="n"/>
      <c r="H732" s="8">
        <f>IF(OR(F732="",G732=""),"",MAX(0,ROUND((G732-F732)*1440,0)))</f>
        <v/>
      </c>
      <c r="I732" s="8">
        <f>IF(F732="","ไม่ครบ","ครบ")</f>
        <v/>
      </c>
      <c r="J732" s="8">
        <f>IF(G732="","ไม่ครบ","ครบ")</f>
        <v/>
      </c>
      <c r="K732" s="8">
        <f>IF(OR(F732="",G732=""),"ไม่ผ่าน",IF(H732&gt;=90,"ผ่าน","ไม่ผ่าน"))</f>
        <v/>
      </c>
      <c r="L732" s="8">
        <f>IF(K732="ผ่าน",1,0)</f>
        <v/>
      </c>
      <c r="N732" s="7" t="n"/>
    </row>
    <row r="733">
      <c r="F733" s="7" t="n"/>
      <c r="G733" s="7" t="n"/>
      <c r="H733" s="8">
        <f>IF(OR(F733="",G733=""),"",MAX(0,ROUND((G733-F733)*1440,0)))</f>
        <v/>
      </c>
      <c r="I733" s="8">
        <f>IF(F733="","ไม่ครบ","ครบ")</f>
        <v/>
      </c>
      <c r="J733" s="8">
        <f>IF(G733="","ไม่ครบ","ครบ")</f>
        <v/>
      </c>
      <c r="K733" s="8">
        <f>IF(OR(F733="",G733=""),"ไม่ผ่าน",IF(H733&gt;=90,"ผ่าน","ไม่ผ่าน"))</f>
        <v/>
      </c>
      <c r="L733" s="8">
        <f>IF(K733="ผ่าน",1,0)</f>
        <v/>
      </c>
      <c r="N733" s="7" t="n"/>
    </row>
    <row r="734">
      <c r="F734" s="7" t="n"/>
      <c r="G734" s="7" t="n"/>
      <c r="H734" s="8">
        <f>IF(OR(F734="",G734=""),"",MAX(0,ROUND((G734-F734)*1440,0)))</f>
        <v/>
      </c>
      <c r="I734" s="8">
        <f>IF(F734="","ไม่ครบ","ครบ")</f>
        <v/>
      </c>
      <c r="J734" s="8">
        <f>IF(G734="","ไม่ครบ","ครบ")</f>
        <v/>
      </c>
      <c r="K734" s="8">
        <f>IF(OR(F734="",G734=""),"ไม่ผ่าน",IF(H734&gt;=90,"ผ่าน","ไม่ผ่าน"))</f>
        <v/>
      </c>
      <c r="L734" s="8">
        <f>IF(K734="ผ่าน",1,0)</f>
        <v/>
      </c>
      <c r="N734" s="7" t="n"/>
    </row>
    <row r="735">
      <c r="F735" s="7" t="n"/>
      <c r="G735" s="7" t="n"/>
      <c r="H735" s="8">
        <f>IF(OR(F735="",G735=""),"",MAX(0,ROUND((G735-F735)*1440,0)))</f>
        <v/>
      </c>
      <c r="I735" s="8">
        <f>IF(F735="","ไม่ครบ","ครบ")</f>
        <v/>
      </c>
      <c r="J735" s="8">
        <f>IF(G735="","ไม่ครบ","ครบ")</f>
        <v/>
      </c>
      <c r="K735" s="8">
        <f>IF(OR(F735="",G735=""),"ไม่ผ่าน",IF(H735&gt;=90,"ผ่าน","ไม่ผ่าน"))</f>
        <v/>
      </c>
      <c r="L735" s="8">
        <f>IF(K735="ผ่าน",1,0)</f>
        <v/>
      </c>
      <c r="N735" s="7" t="n"/>
    </row>
    <row r="736">
      <c r="F736" s="7" t="n"/>
      <c r="G736" s="7" t="n"/>
      <c r="H736" s="8">
        <f>IF(OR(F736="",G736=""),"",MAX(0,ROUND((G736-F736)*1440,0)))</f>
        <v/>
      </c>
      <c r="I736" s="8">
        <f>IF(F736="","ไม่ครบ","ครบ")</f>
        <v/>
      </c>
      <c r="J736" s="8">
        <f>IF(G736="","ไม่ครบ","ครบ")</f>
        <v/>
      </c>
      <c r="K736" s="8">
        <f>IF(OR(F736="",G736=""),"ไม่ผ่าน",IF(H736&gt;=90,"ผ่าน","ไม่ผ่าน"))</f>
        <v/>
      </c>
      <c r="L736" s="8">
        <f>IF(K736="ผ่าน",1,0)</f>
        <v/>
      </c>
      <c r="N736" s="7" t="n"/>
    </row>
    <row r="737">
      <c r="F737" s="7" t="n"/>
      <c r="G737" s="7" t="n"/>
      <c r="H737" s="8">
        <f>IF(OR(F737="",G737=""),"",MAX(0,ROUND((G737-F737)*1440,0)))</f>
        <v/>
      </c>
      <c r="I737" s="8">
        <f>IF(F737="","ไม่ครบ","ครบ")</f>
        <v/>
      </c>
      <c r="J737" s="8">
        <f>IF(G737="","ไม่ครบ","ครบ")</f>
        <v/>
      </c>
      <c r="K737" s="8">
        <f>IF(OR(F737="",G737=""),"ไม่ผ่าน",IF(H737&gt;=90,"ผ่าน","ไม่ผ่าน"))</f>
        <v/>
      </c>
      <c r="L737" s="8">
        <f>IF(K737="ผ่าน",1,0)</f>
        <v/>
      </c>
      <c r="N737" s="7" t="n"/>
    </row>
    <row r="738">
      <c r="F738" s="7" t="n"/>
      <c r="G738" s="7" t="n"/>
      <c r="H738" s="8">
        <f>IF(OR(F738="",G738=""),"",MAX(0,ROUND((G738-F738)*1440,0)))</f>
        <v/>
      </c>
      <c r="I738" s="8">
        <f>IF(F738="","ไม่ครบ","ครบ")</f>
        <v/>
      </c>
      <c r="J738" s="8">
        <f>IF(G738="","ไม่ครบ","ครบ")</f>
        <v/>
      </c>
      <c r="K738" s="8">
        <f>IF(OR(F738="",G738=""),"ไม่ผ่าน",IF(H738&gt;=90,"ผ่าน","ไม่ผ่าน"))</f>
        <v/>
      </c>
      <c r="L738" s="8">
        <f>IF(K738="ผ่าน",1,0)</f>
        <v/>
      </c>
      <c r="N738" s="7" t="n"/>
    </row>
    <row r="739">
      <c r="F739" s="7" t="n"/>
      <c r="G739" s="7" t="n"/>
      <c r="H739" s="8">
        <f>IF(OR(F739="",G739=""),"",MAX(0,ROUND((G739-F739)*1440,0)))</f>
        <v/>
      </c>
      <c r="I739" s="8">
        <f>IF(F739="","ไม่ครบ","ครบ")</f>
        <v/>
      </c>
      <c r="J739" s="8">
        <f>IF(G739="","ไม่ครบ","ครบ")</f>
        <v/>
      </c>
      <c r="K739" s="8">
        <f>IF(OR(F739="",G739=""),"ไม่ผ่าน",IF(H739&gt;=90,"ผ่าน","ไม่ผ่าน"))</f>
        <v/>
      </c>
      <c r="L739" s="8">
        <f>IF(K739="ผ่าน",1,0)</f>
        <v/>
      </c>
      <c r="N739" s="7" t="n"/>
    </row>
    <row r="740">
      <c r="F740" s="7" t="n"/>
      <c r="G740" s="7" t="n"/>
      <c r="H740" s="8">
        <f>IF(OR(F740="",G740=""),"",MAX(0,ROUND((G740-F740)*1440,0)))</f>
        <v/>
      </c>
      <c r="I740" s="8">
        <f>IF(F740="","ไม่ครบ","ครบ")</f>
        <v/>
      </c>
      <c r="J740" s="8">
        <f>IF(G740="","ไม่ครบ","ครบ")</f>
        <v/>
      </c>
      <c r="K740" s="8">
        <f>IF(OR(F740="",G740=""),"ไม่ผ่าน",IF(H740&gt;=90,"ผ่าน","ไม่ผ่าน"))</f>
        <v/>
      </c>
      <c r="L740" s="8">
        <f>IF(K740="ผ่าน",1,0)</f>
        <v/>
      </c>
      <c r="N740" s="7" t="n"/>
    </row>
    <row r="741">
      <c r="F741" s="7" t="n"/>
      <c r="G741" s="7" t="n"/>
      <c r="H741" s="8">
        <f>IF(OR(F741="",G741=""),"",MAX(0,ROUND((G741-F741)*1440,0)))</f>
        <v/>
      </c>
      <c r="I741" s="8">
        <f>IF(F741="","ไม่ครบ","ครบ")</f>
        <v/>
      </c>
      <c r="J741" s="8">
        <f>IF(G741="","ไม่ครบ","ครบ")</f>
        <v/>
      </c>
      <c r="K741" s="8">
        <f>IF(OR(F741="",G741=""),"ไม่ผ่าน",IF(H741&gt;=90,"ผ่าน","ไม่ผ่าน"))</f>
        <v/>
      </c>
      <c r="L741" s="8">
        <f>IF(K741="ผ่าน",1,0)</f>
        <v/>
      </c>
      <c r="N741" s="7" t="n"/>
    </row>
    <row r="742">
      <c r="F742" s="7" t="n"/>
      <c r="G742" s="7" t="n"/>
      <c r="H742" s="8">
        <f>IF(OR(F742="",G742=""),"",MAX(0,ROUND((G742-F742)*1440,0)))</f>
        <v/>
      </c>
      <c r="I742" s="8">
        <f>IF(F742="","ไม่ครบ","ครบ")</f>
        <v/>
      </c>
      <c r="J742" s="8">
        <f>IF(G742="","ไม่ครบ","ครบ")</f>
        <v/>
      </c>
      <c r="K742" s="8">
        <f>IF(OR(F742="",G742=""),"ไม่ผ่าน",IF(H742&gt;=90,"ผ่าน","ไม่ผ่าน"))</f>
        <v/>
      </c>
      <c r="L742" s="8">
        <f>IF(K742="ผ่าน",1,0)</f>
        <v/>
      </c>
      <c r="N742" s="7" t="n"/>
    </row>
    <row r="743">
      <c r="F743" s="7" t="n"/>
      <c r="G743" s="7" t="n"/>
      <c r="H743" s="8">
        <f>IF(OR(F743="",G743=""),"",MAX(0,ROUND((G743-F743)*1440,0)))</f>
        <v/>
      </c>
      <c r="I743" s="8">
        <f>IF(F743="","ไม่ครบ","ครบ")</f>
        <v/>
      </c>
      <c r="J743" s="8">
        <f>IF(G743="","ไม่ครบ","ครบ")</f>
        <v/>
      </c>
      <c r="K743" s="8">
        <f>IF(OR(F743="",G743=""),"ไม่ผ่าน",IF(H743&gt;=90,"ผ่าน","ไม่ผ่าน"))</f>
        <v/>
      </c>
      <c r="L743" s="8">
        <f>IF(K743="ผ่าน",1,0)</f>
        <v/>
      </c>
      <c r="N743" s="7" t="n"/>
    </row>
    <row r="744">
      <c r="F744" s="7" t="n"/>
      <c r="G744" s="7" t="n"/>
      <c r="H744" s="8">
        <f>IF(OR(F744="",G744=""),"",MAX(0,ROUND((G744-F744)*1440,0)))</f>
        <v/>
      </c>
      <c r="I744" s="8">
        <f>IF(F744="","ไม่ครบ","ครบ")</f>
        <v/>
      </c>
      <c r="J744" s="8">
        <f>IF(G744="","ไม่ครบ","ครบ")</f>
        <v/>
      </c>
      <c r="K744" s="8">
        <f>IF(OR(F744="",G744=""),"ไม่ผ่าน",IF(H744&gt;=90,"ผ่าน","ไม่ผ่าน"))</f>
        <v/>
      </c>
      <c r="L744" s="8">
        <f>IF(K744="ผ่าน",1,0)</f>
        <v/>
      </c>
      <c r="N744" s="7" t="n"/>
    </row>
    <row r="745">
      <c r="F745" s="7" t="n"/>
      <c r="G745" s="7" t="n"/>
      <c r="H745" s="8">
        <f>IF(OR(F745="",G745=""),"",MAX(0,ROUND((G745-F745)*1440,0)))</f>
        <v/>
      </c>
      <c r="I745" s="8">
        <f>IF(F745="","ไม่ครบ","ครบ")</f>
        <v/>
      </c>
      <c r="J745" s="8">
        <f>IF(G745="","ไม่ครบ","ครบ")</f>
        <v/>
      </c>
      <c r="K745" s="8">
        <f>IF(OR(F745="",G745=""),"ไม่ผ่าน",IF(H745&gt;=90,"ผ่าน","ไม่ผ่าน"))</f>
        <v/>
      </c>
      <c r="L745" s="8">
        <f>IF(K745="ผ่าน",1,0)</f>
        <v/>
      </c>
      <c r="N745" s="7" t="n"/>
    </row>
    <row r="746">
      <c r="F746" s="7" t="n"/>
      <c r="G746" s="7" t="n"/>
      <c r="H746" s="8">
        <f>IF(OR(F746="",G746=""),"",MAX(0,ROUND((G746-F746)*1440,0)))</f>
        <v/>
      </c>
      <c r="I746" s="8">
        <f>IF(F746="","ไม่ครบ","ครบ")</f>
        <v/>
      </c>
      <c r="J746" s="8">
        <f>IF(G746="","ไม่ครบ","ครบ")</f>
        <v/>
      </c>
      <c r="K746" s="8">
        <f>IF(OR(F746="",G746=""),"ไม่ผ่าน",IF(H746&gt;=90,"ผ่าน","ไม่ผ่าน"))</f>
        <v/>
      </c>
      <c r="L746" s="8">
        <f>IF(K746="ผ่าน",1,0)</f>
        <v/>
      </c>
      <c r="N746" s="7" t="n"/>
    </row>
    <row r="747">
      <c r="F747" s="7" t="n"/>
      <c r="G747" s="7" t="n"/>
      <c r="H747" s="8">
        <f>IF(OR(F747="",G747=""),"",MAX(0,ROUND((G747-F747)*1440,0)))</f>
        <v/>
      </c>
      <c r="I747" s="8">
        <f>IF(F747="","ไม่ครบ","ครบ")</f>
        <v/>
      </c>
      <c r="J747" s="8">
        <f>IF(G747="","ไม่ครบ","ครบ")</f>
        <v/>
      </c>
      <c r="K747" s="8">
        <f>IF(OR(F747="",G747=""),"ไม่ผ่าน",IF(H747&gt;=90,"ผ่าน","ไม่ผ่าน"))</f>
        <v/>
      </c>
      <c r="L747" s="8">
        <f>IF(K747="ผ่าน",1,0)</f>
        <v/>
      </c>
      <c r="N747" s="7" t="n"/>
    </row>
    <row r="748">
      <c r="F748" s="7" t="n"/>
      <c r="G748" s="7" t="n"/>
      <c r="H748" s="8">
        <f>IF(OR(F748="",G748=""),"",MAX(0,ROUND((G748-F748)*1440,0)))</f>
        <v/>
      </c>
      <c r="I748" s="8">
        <f>IF(F748="","ไม่ครบ","ครบ")</f>
        <v/>
      </c>
      <c r="J748" s="8">
        <f>IF(G748="","ไม่ครบ","ครบ")</f>
        <v/>
      </c>
      <c r="K748" s="8">
        <f>IF(OR(F748="",G748=""),"ไม่ผ่าน",IF(H748&gt;=90,"ผ่าน","ไม่ผ่าน"))</f>
        <v/>
      </c>
      <c r="L748" s="8">
        <f>IF(K748="ผ่าน",1,0)</f>
        <v/>
      </c>
      <c r="N748" s="7" t="n"/>
    </row>
    <row r="749">
      <c r="F749" s="7" t="n"/>
      <c r="G749" s="7" t="n"/>
      <c r="H749" s="8">
        <f>IF(OR(F749="",G749=""),"",MAX(0,ROUND((G749-F749)*1440,0)))</f>
        <v/>
      </c>
      <c r="I749" s="8">
        <f>IF(F749="","ไม่ครบ","ครบ")</f>
        <v/>
      </c>
      <c r="J749" s="8">
        <f>IF(G749="","ไม่ครบ","ครบ")</f>
        <v/>
      </c>
      <c r="K749" s="8">
        <f>IF(OR(F749="",G749=""),"ไม่ผ่าน",IF(H749&gt;=90,"ผ่าน","ไม่ผ่าน"))</f>
        <v/>
      </c>
      <c r="L749" s="8">
        <f>IF(K749="ผ่าน",1,0)</f>
        <v/>
      </c>
      <c r="N749" s="7" t="n"/>
    </row>
    <row r="750">
      <c r="F750" s="7" t="n"/>
      <c r="G750" s="7" t="n"/>
      <c r="H750" s="8">
        <f>IF(OR(F750="",G750=""),"",MAX(0,ROUND((G750-F750)*1440,0)))</f>
        <v/>
      </c>
      <c r="I750" s="8">
        <f>IF(F750="","ไม่ครบ","ครบ")</f>
        <v/>
      </c>
      <c r="J750" s="8">
        <f>IF(G750="","ไม่ครบ","ครบ")</f>
        <v/>
      </c>
      <c r="K750" s="8">
        <f>IF(OR(F750="",G750=""),"ไม่ผ่าน",IF(H750&gt;=90,"ผ่าน","ไม่ผ่าน"))</f>
        <v/>
      </c>
      <c r="L750" s="8">
        <f>IF(K750="ผ่าน",1,0)</f>
        <v/>
      </c>
      <c r="N750" s="7" t="n"/>
    </row>
    <row r="751">
      <c r="F751" s="7" t="n"/>
      <c r="G751" s="7" t="n"/>
      <c r="H751" s="8">
        <f>IF(OR(F751="",G751=""),"",MAX(0,ROUND((G751-F751)*1440,0)))</f>
        <v/>
      </c>
      <c r="I751" s="8">
        <f>IF(F751="","ไม่ครบ","ครบ")</f>
        <v/>
      </c>
      <c r="J751" s="8">
        <f>IF(G751="","ไม่ครบ","ครบ")</f>
        <v/>
      </c>
      <c r="K751" s="8">
        <f>IF(OR(F751="",G751=""),"ไม่ผ่าน",IF(H751&gt;=90,"ผ่าน","ไม่ผ่าน"))</f>
        <v/>
      </c>
      <c r="L751" s="8">
        <f>IF(K751="ผ่าน",1,0)</f>
        <v/>
      </c>
      <c r="N751" s="7" t="n"/>
    </row>
    <row r="752">
      <c r="F752" s="7" t="n"/>
      <c r="G752" s="7" t="n"/>
      <c r="H752" s="8">
        <f>IF(OR(F752="",G752=""),"",MAX(0,ROUND((G752-F752)*1440,0)))</f>
        <v/>
      </c>
      <c r="I752" s="8">
        <f>IF(F752="","ไม่ครบ","ครบ")</f>
        <v/>
      </c>
      <c r="J752" s="8">
        <f>IF(G752="","ไม่ครบ","ครบ")</f>
        <v/>
      </c>
      <c r="K752" s="8">
        <f>IF(OR(F752="",G752=""),"ไม่ผ่าน",IF(H752&gt;=90,"ผ่าน","ไม่ผ่าน"))</f>
        <v/>
      </c>
      <c r="L752" s="8">
        <f>IF(K752="ผ่าน",1,0)</f>
        <v/>
      </c>
      <c r="N752" s="7" t="n"/>
    </row>
    <row r="753">
      <c r="F753" s="7" t="n"/>
      <c r="G753" s="7" t="n"/>
      <c r="H753" s="8">
        <f>IF(OR(F753="",G753=""),"",MAX(0,ROUND((G753-F753)*1440,0)))</f>
        <v/>
      </c>
      <c r="I753" s="8">
        <f>IF(F753="","ไม่ครบ","ครบ")</f>
        <v/>
      </c>
      <c r="J753" s="8">
        <f>IF(G753="","ไม่ครบ","ครบ")</f>
        <v/>
      </c>
      <c r="K753" s="8">
        <f>IF(OR(F753="",G753=""),"ไม่ผ่าน",IF(H753&gt;=90,"ผ่าน","ไม่ผ่าน"))</f>
        <v/>
      </c>
      <c r="L753" s="8">
        <f>IF(K753="ผ่าน",1,0)</f>
        <v/>
      </c>
      <c r="N753" s="7" t="n"/>
    </row>
    <row r="754">
      <c r="F754" s="7" t="n"/>
      <c r="G754" s="7" t="n"/>
      <c r="H754" s="8">
        <f>IF(OR(F754="",G754=""),"",MAX(0,ROUND((G754-F754)*1440,0)))</f>
        <v/>
      </c>
      <c r="I754" s="8">
        <f>IF(F754="","ไม่ครบ","ครบ")</f>
        <v/>
      </c>
      <c r="J754" s="8">
        <f>IF(G754="","ไม่ครบ","ครบ")</f>
        <v/>
      </c>
      <c r="K754" s="8">
        <f>IF(OR(F754="",G754=""),"ไม่ผ่าน",IF(H754&gt;=90,"ผ่าน","ไม่ผ่าน"))</f>
        <v/>
      </c>
      <c r="L754" s="8">
        <f>IF(K754="ผ่าน",1,0)</f>
        <v/>
      </c>
      <c r="N754" s="7" t="n"/>
    </row>
    <row r="755">
      <c r="F755" s="7" t="n"/>
      <c r="G755" s="7" t="n"/>
      <c r="H755" s="8">
        <f>IF(OR(F755="",G755=""),"",MAX(0,ROUND((G755-F755)*1440,0)))</f>
        <v/>
      </c>
      <c r="I755" s="8">
        <f>IF(F755="","ไม่ครบ","ครบ")</f>
        <v/>
      </c>
      <c r="J755" s="8">
        <f>IF(G755="","ไม่ครบ","ครบ")</f>
        <v/>
      </c>
      <c r="K755" s="8">
        <f>IF(OR(F755="",G755=""),"ไม่ผ่าน",IF(H755&gt;=90,"ผ่าน","ไม่ผ่าน"))</f>
        <v/>
      </c>
      <c r="L755" s="8">
        <f>IF(K755="ผ่าน",1,0)</f>
        <v/>
      </c>
      <c r="N755" s="7" t="n"/>
    </row>
    <row r="756">
      <c r="F756" s="7" t="n"/>
      <c r="G756" s="7" t="n"/>
      <c r="H756" s="8">
        <f>IF(OR(F756="",G756=""),"",MAX(0,ROUND((G756-F756)*1440,0)))</f>
        <v/>
      </c>
      <c r="I756" s="8">
        <f>IF(F756="","ไม่ครบ","ครบ")</f>
        <v/>
      </c>
      <c r="J756" s="8">
        <f>IF(G756="","ไม่ครบ","ครบ")</f>
        <v/>
      </c>
      <c r="K756" s="8">
        <f>IF(OR(F756="",G756=""),"ไม่ผ่าน",IF(H756&gt;=90,"ผ่าน","ไม่ผ่าน"))</f>
        <v/>
      </c>
      <c r="L756" s="8">
        <f>IF(K756="ผ่าน",1,0)</f>
        <v/>
      </c>
      <c r="N756" s="7" t="n"/>
    </row>
    <row r="757">
      <c r="F757" s="7" t="n"/>
      <c r="G757" s="7" t="n"/>
      <c r="H757" s="8">
        <f>IF(OR(F757="",G757=""),"",MAX(0,ROUND((G757-F757)*1440,0)))</f>
        <v/>
      </c>
      <c r="I757" s="8">
        <f>IF(F757="","ไม่ครบ","ครบ")</f>
        <v/>
      </c>
      <c r="J757" s="8">
        <f>IF(G757="","ไม่ครบ","ครบ")</f>
        <v/>
      </c>
      <c r="K757" s="8">
        <f>IF(OR(F757="",G757=""),"ไม่ผ่าน",IF(H757&gt;=90,"ผ่าน","ไม่ผ่าน"))</f>
        <v/>
      </c>
      <c r="L757" s="8">
        <f>IF(K757="ผ่าน",1,0)</f>
        <v/>
      </c>
      <c r="N757" s="7" t="n"/>
    </row>
    <row r="758">
      <c r="F758" s="7" t="n"/>
      <c r="G758" s="7" t="n"/>
      <c r="H758" s="8">
        <f>IF(OR(F758="",G758=""),"",MAX(0,ROUND((G758-F758)*1440,0)))</f>
        <v/>
      </c>
      <c r="I758" s="8">
        <f>IF(F758="","ไม่ครบ","ครบ")</f>
        <v/>
      </c>
      <c r="J758" s="8">
        <f>IF(G758="","ไม่ครบ","ครบ")</f>
        <v/>
      </c>
      <c r="K758" s="8">
        <f>IF(OR(F758="",G758=""),"ไม่ผ่าน",IF(H758&gt;=90,"ผ่าน","ไม่ผ่าน"))</f>
        <v/>
      </c>
      <c r="L758" s="8">
        <f>IF(K758="ผ่าน",1,0)</f>
        <v/>
      </c>
      <c r="N758" s="7" t="n"/>
    </row>
    <row r="759">
      <c r="F759" s="7" t="n"/>
      <c r="G759" s="7" t="n"/>
      <c r="H759" s="8">
        <f>IF(OR(F759="",G759=""),"",MAX(0,ROUND((G759-F759)*1440,0)))</f>
        <v/>
      </c>
      <c r="I759" s="8">
        <f>IF(F759="","ไม่ครบ","ครบ")</f>
        <v/>
      </c>
      <c r="J759" s="8">
        <f>IF(G759="","ไม่ครบ","ครบ")</f>
        <v/>
      </c>
      <c r="K759" s="8">
        <f>IF(OR(F759="",G759=""),"ไม่ผ่าน",IF(H759&gt;=90,"ผ่าน","ไม่ผ่าน"))</f>
        <v/>
      </c>
      <c r="L759" s="8">
        <f>IF(K759="ผ่าน",1,0)</f>
        <v/>
      </c>
      <c r="N759" s="7" t="n"/>
    </row>
    <row r="760">
      <c r="F760" s="7" t="n"/>
      <c r="G760" s="7" t="n"/>
      <c r="H760" s="8">
        <f>IF(OR(F760="",G760=""),"",MAX(0,ROUND((G760-F760)*1440,0)))</f>
        <v/>
      </c>
      <c r="I760" s="8">
        <f>IF(F760="","ไม่ครบ","ครบ")</f>
        <v/>
      </c>
      <c r="J760" s="8">
        <f>IF(G760="","ไม่ครบ","ครบ")</f>
        <v/>
      </c>
      <c r="K760" s="8">
        <f>IF(OR(F760="",G760=""),"ไม่ผ่าน",IF(H760&gt;=90,"ผ่าน","ไม่ผ่าน"))</f>
        <v/>
      </c>
      <c r="L760" s="8">
        <f>IF(K760="ผ่าน",1,0)</f>
        <v/>
      </c>
      <c r="N760" s="7" t="n"/>
    </row>
    <row r="761">
      <c r="F761" s="7" t="n"/>
      <c r="G761" s="7" t="n"/>
      <c r="H761" s="8">
        <f>IF(OR(F761="",G761=""),"",MAX(0,ROUND((G761-F761)*1440,0)))</f>
        <v/>
      </c>
      <c r="I761" s="8">
        <f>IF(F761="","ไม่ครบ","ครบ")</f>
        <v/>
      </c>
      <c r="J761" s="8">
        <f>IF(G761="","ไม่ครบ","ครบ")</f>
        <v/>
      </c>
      <c r="K761" s="8">
        <f>IF(OR(F761="",G761=""),"ไม่ผ่าน",IF(H761&gt;=90,"ผ่าน","ไม่ผ่าน"))</f>
        <v/>
      </c>
      <c r="L761" s="8">
        <f>IF(K761="ผ่าน",1,0)</f>
        <v/>
      </c>
      <c r="N761" s="7" t="n"/>
    </row>
    <row r="762">
      <c r="F762" s="7" t="n"/>
      <c r="G762" s="7" t="n"/>
      <c r="H762" s="8">
        <f>IF(OR(F762="",G762=""),"",MAX(0,ROUND((G762-F762)*1440,0)))</f>
        <v/>
      </c>
      <c r="I762" s="8">
        <f>IF(F762="","ไม่ครบ","ครบ")</f>
        <v/>
      </c>
      <c r="J762" s="8">
        <f>IF(G762="","ไม่ครบ","ครบ")</f>
        <v/>
      </c>
      <c r="K762" s="8">
        <f>IF(OR(F762="",G762=""),"ไม่ผ่าน",IF(H762&gt;=90,"ผ่าน","ไม่ผ่าน"))</f>
        <v/>
      </c>
      <c r="L762" s="8">
        <f>IF(K762="ผ่าน",1,0)</f>
        <v/>
      </c>
      <c r="N762" s="7" t="n"/>
    </row>
    <row r="763">
      <c r="F763" s="7" t="n"/>
      <c r="G763" s="7" t="n"/>
      <c r="H763" s="8">
        <f>IF(OR(F763="",G763=""),"",MAX(0,ROUND((G763-F763)*1440,0)))</f>
        <v/>
      </c>
      <c r="I763" s="8">
        <f>IF(F763="","ไม่ครบ","ครบ")</f>
        <v/>
      </c>
      <c r="J763" s="8">
        <f>IF(G763="","ไม่ครบ","ครบ")</f>
        <v/>
      </c>
      <c r="K763" s="8">
        <f>IF(OR(F763="",G763=""),"ไม่ผ่าน",IF(H763&gt;=90,"ผ่าน","ไม่ผ่าน"))</f>
        <v/>
      </c>
      <c r="L763" s="8">
        <f>IF(K763="ผ่าน",1,0)</f>
        <v/>
      </c>
      <c r="N763" s="7" t="n"/>
    </row>
    <row r="764">
      <c r="F764" s="7" t="n"/>
      <c r="G764" s="7" t="n"/>
      <c r="H764" s="8">
        <f>IF(OR(F764="",G764=""),"",MAX(0,ROUND((G764-F764)*1440,0)))</f>
        <v/>
      </c>
      <c r="I764" s="8">
        <f>IF(F764="","ไม่ครบ","ครบ")</f>
        <v/>
      </c>
      <c r="J764" s="8">
        <f>IF(G764="","ไม่ครบ","ครบ")</f>
        <v/>
      </c>
      <c r="K764" s="8">
        <f>IF(OR(F764="",G764=""),"ไม่ผ่าน",IF(H764&gt;=90,"ผ่าน","ไม่ผ่าน"))</f>
        <v/>
      </c>
      <c r="L764" s="8">
        <f>IF(K764="ผ่าน",1,0)</f>
        <v/>
      </c>
      <c r="N764" s="7" t="n"/>
    </row>
    <row r="765">
      <c r="F765" s="7" t="n"/>
      <c r="G765" s="7" t="n"/>
      <c r="H765" s="8">
        <f>IF(OR(F765="",G765=""),"",MAX(0,ROUND((G765-F765)*1440,0)))</f>
        <v/>
      </c>
      <c r="I765" s="8">
        <f>IF(F765="","ไม่ครบ","ครบ")</f>
        <v/>
      </c>
      <c r="J765" s="8">
        <f>IF(G765="","ไม่ครบ","ครบ")</f>
        <v/>
      </c>
      <c r="K765" s="8">
        <f>IF(OR(F765="",G765=""),"ไม่ผ่าน",IF(H765&gt;=90,"ผ่าน","ไม่ผ่าน"))</f>
        <v/>
      </c>
      <c r="L765" s="8">
        <f>IF(K765="ผ่าน",1,0)</f>
        <v/>
      </c>
      <c r="N765" s="7" t="n"/>
    </row>
    <row r="766">
      <c r="F766" s="7" t="n"/>
      <c r="G766" s="7" t="n"/>
      <c r="H766" s="8">
        <f>IF(OR(F766="",G766=""),"",MAX(0,ROUND((G766-F766)*1440,0)))</f>
        <v/>
      </c>
      <c r="I766" s="8">
        <f>IF(F766="","ไม่ครบ","ครบ")</f>
        <v/>
      </c>
      <c r="J766" s="8">
        <f>IF(G766="","ไม่ครบ","ครบ")</f>
        <v/>
      </c>
      <c r="K766" s="8">
        <f>IF(OR(F766="",G766=""),"ไม่ผ่าน",IF(H766&gt;=90,"ผ่าน","ไม่ผ่าน"))</f>
        <v/>
      </c>
      <c r="L766" s="8">
        <f>IF(K766="ผ่าน",1,0)</f>
        <v/>
      </c>
      <c r="N766" s="7" t="n"/>
    </row>
    <row r="767">
      <c r="F767" s="7" t="n"/>
      <c r="G767" s="7" t="n"/>
      <c r="H767" s="8">
        <f>IF(OR(F767="",G767=""),"",MAX(0,ROUND((G767-F767)*1440,0)))</f>
        <v/>
      </c>
      <c r="I767" s="8">
        <f>IF(F767="","ไม่ครบ","ครบ")</f>
        <v/>
      </c>
      <c r="J767" s="8">
        <f>IF(G767="","ไม่ครบ","ครบ")</f>
        <v/>
      </c>
      <c r="K767" s="8">
        <f>IF(OR(F767="",G767=""),"ไม่ผ่าน",IF(H767&gt;=90,"ผ่าน","ไม่ผ่าน"))</f>
        <v/>
      </c>
      <c r="L767" s="8">
        <f>IF(K767="ผ่าน",1,0)</f>
        <v/>
      </c>
      <c r="N767" s="7" t="n"/>
    </row>
    <row r="768">
      <c r="F768" s="7" t="n"/>
      <c r="G768" s="7" t="n"/>
      <c r="H768" s="8">
        <f>IF(OR(F768="",G768=""),"",MAX(0,ROUND((G768-F768)*1440,0)))</f>
        <v/>
      </c>
      <c r="I768" s="8">
        <f>IF(F768="","ไม่ครบ","ครบ")</f>
        <v/>
      </c>
      <c r="J768" s="8">
        <f>IF(G768="","ไม่ครบ","ครบ")</f>
        <v/>
      </c>
      <c r="K768" s="8">
        <f>IF(OR(F768="",G768=""),"ไม่ผ่าน",IF(H768&gt;=90,"ผ่าน","ไม่ผ่าน"))</f>
        <v/>
      </c>
      <c r="L768" s="8">
        <f>IF(K768="ผ่าน",1,0)</f>
        <v/>
      </c>
      <c r="N768" s="7" t="n"/>
    </row>
    <row r="769">
      <c r="F769" s="7" t="n"/>
      <c r="G769" s="7" t="n"/>
      <c r="H769" s="8">
        <f>IF(OR(F769="",G769=""),"",MAX(0,ROUND((G769-F769)*1440,0)))</f>
        <v/>
      </c>
      <c r="I769" s="8">
        <f>IF(F769="","ไม่ครบ","ครบ")</f>
        <v/>
      </c>
      <c r="J769" s="8">
        <f>IF(G769="","ไม่ครบ","ครบ")</f>
        <v/>
      </c>
      <c r="K769" s="8">
        <f>IF(OR(F769="",G769=""),"ไม่ผ่าน",IF(H769&gt;=90,"ผ่าน","ไม่ผ่าน"))</f>
        <v/>
      </c>
      <c r="L769" s="8">
        <f>IF(K769="ผ่าน",1,0)</f>
        <v/>
      </c>
      <c r="N769" s="7" t="n"/>
    </row>
    <row r="770">
      <c r="F770" s="7" t="n"/>
      <c r="G770" s="7" t="n"/>
      <c r="H770" s="8">
        <f>IF(OR(F770="",G770=""),"",MAX(0,ROUND((G770-F770)*1440,0)))</f>
        <v/>
      </c>
      <c r="I770" s="8">
        <f>IF(F770="","ไม่ครบ","ครบ")</f>
        <v/>
      </c>
      <c r="J770" s="8">
        <f>IF(G770="","ไม่ครบ","ครบ")</f>
        <v/>
      </c>
      <c r="K770" s="8">
        <f>IF(OR(F770="",G770=""),"ไม่ผ่าน",IF(H770&gt;=90,"ผ่าน","ไม่ผ่าน"))</f>
        <v/>
      </c>
      <c r="L770" s="8">
        <f>IF(K770="ผ่าน",1,0)</f>
        <v/>
      </c>
      <c r="N770" s="7" t="n"/>
    </row>
    <row r="771">
      <c r="F771" s="7" t="n"/>
      <c r="G771" s="7" t="n"/>
      <c r="H771" s="8">
        <f>IF(OR(F771="",G771=""),"",MAX(0,ROUND((G771-F771)*1440,0)))</f>
        <v/>
      </c>
      <c r="I771" s="8">
        <f>IF(F771="","ไม่ครบ","ครบ")</f>
        <v/>
      </c>
      <c r="J771" s="8">
        <f>IF(G771="","ไม่ครบ","ครบ")</f>
        <v/>
      </c>
      <c r="K771" s="8">
        <f>IF(OR(F771="",G771=""),"ไม่ผ่าน",IF(H771&gt;=90,"ผ่าน","ไม่ผ่าน"))</f>
        <v/>
      </c>
      <c r="L771" s="8">
        <f>IF(K771="ผ่าน",1,0)</f>
        <v/>
      </c>
      <c r="N771" s="7" t="n"/>
    </row>
    <row r="772">
      <c r="F772" s="7" t="n"/>
      <c r="G772" s="7" t="n"/>
      <c r="H772" s="8">
        <f>IF(OR(F772="",G772=""),"",MAX(0,ROUND((G772-F772)*1440,0)))</f>
        <v/>
      </c>
      <c r="I772" s="8">
        <f>IF(F772="","ไม่ครบ","ครบ")</f>
        <v/>
      </c>
      <c r="J772" s="8">
        <f>IF(G772="","ไม่ครบ","ครบ")</f>
        <v/>
      </c>
      <c r="K772" s="8">
        <f>IF(OR(F772="",G772=""),"ไม่ผ่าน",IF(H772&gt;=90,"ผ่าน","ไม่ผ่าน"))</f>
        <v/>
      </c>
      <c r="L772" s="8">
        <f>IF(K772="ผ่าน",1,0)</f>
        <v/>
      </c>
      <c r="N772" s="7" t="n"/>
    </row>
    <row r="773">
      <c r="F773" s="7" t="n"/>
      <c r="G773" s="7" t="n"/>
      <c r="H773" s="8">
        <f>IF(OR(F773="",G773=""),"",MAX(0,ROUND((G773-F773)*1440,0)))</f>
        <v/>
      </c>
      <c r="I773" s="8">
        <f>IF(F773="","ไม่ครบ","ครบ")</f>
        <v/>
      </c>
      <c r="J773" s="8">
        <f>IF(G773="","ไม่ครบ","ครบ")</f>
        <v/>
      </c>
      <c r="K773" s="8">
        <f>IF(OR(F773="",G773=""),"ไม่ผ่าน",IF(H773&gt;=90,"ผ่าน","ไม่ผ่าน"))</f>
        <v/>
      </c>
      <c r="L773" s="8">
        <f>IF(K773="ผ่าน",1,0)</f>
        <v/>
      </c>
      <c r="N773" s="7" t="n"/>
    </row>
    <row r="774">
      <c r="F774" s="7" t="n"/>
      <c r="G774" s="7" t="n"/>
      <c r="H774" s="8">
        <f>IF(OR(F774="",G774=""),"",MAX(0,ROUND((G774-F774)*1440,0)))</f>
        <v/>
      </c>
      <c r="I774" s="8">
        <f>IF(F774="","ไม่ครบ","ครบ")</f>
        <v/>
      </c>
      <c r="J774" s="8">
        <f>IF(G774="","ไม่ครบ","ครบ")</f>
        <v/>
      </c>
      <c r="K774" s="8">
        <f>IF(OR(F774="",G774=""),"ไม่ผ่าน",IF(H774&gt;=90,"ผ่าน","ไม่ผ่าน"))</f>
        <v/>
      </c>
      <c r="L774" s="8">
        <f>IF(K774="ผ่าน",1,0)</f>
        <v/>
      </c>
      <c r="N774" s="7" t="n"/>
    </row>
    <row r="775">
      <c r="F775" s="7" t="n"/>
      <c r="G775" s="7" t="n"/>
      <c r="H775" s="8">
        <f>IF(OR(F775="",G775=""),"",MAX(0,ROUND((G775-F775)*1440,0)))</f>
        <v/>
      </c>
      <c r="I775" s="8">
        <f>IF(F775="","ไม่ครบ","ครบ")</f>
        <v/>
      </c>
      <c r="J775" s="8">
        <f>IF(G775="","ไม่ครบ","ครบ")</f>
        <v/>
      </c>
      <c r="K775" s="8">
        <f>IF(OR(F775="",G775=""),"ไม่ผ่าน",IF(H775&gt;=90,"ผ่าน","ไม่ผ่าน"))</f>
        <v/>
      </c>
      <c r="L775" s="8">
        <f>IF(K775="ผ่าน",1,0)</f>
        <v/>
      </c>
      <c r="N775" s="7" t="n"/>
    </row>
    <row r="776">
      <c r="F776" s="7" t="n"/>
      <c r="G776" s="7" t="n"/>
      <c r="H776" s="8">
        <f>IF(OR(F776="",G776=""),"",MAX(0,ROUND((G776-F776)*1440,0)))</f>
        <v/>
      </c>
      <c r="I776" s="8">
        <f>IF(F776="","ไม่ครบ","ครบ")</f>
        <v/>
      </c>
      <c r="J776" s="8">
        <f>IF(G776="","ไม่ครบ","ครบ")</f>
        <v/>
      </c>
      <c r="K776" s="8">
        <f>IF(OR(F776="",G776=""),"ไม่ผ่าน",IF(H776&gt;=90,"ผ่าน","ไม่ผ่าน"))</f>
        <v/>
      </c>
      <c r="L776" s="8">
        <f>IF(K776="ผ่าน",1,0)</f>
        <v/>
      </c>
      <c r="N776" s="7" t="n"/>
    </row>
    <row r="777">
      <c r="F777" s="7" t="n"/>
      <c r="G777" s="7" t="n"/>
      <c r="H777" s="8">
        <f>IF(OR(F777="",G777=""),"",MAX(0,ROUND((G777-F777)*1440,0)))</f>
        <v/>
      </c>
      <c r="I777" s="8">
        <f>IF(F777="","ไม่ครบ","ครบ")</f>
        <v/>
      </c>
      <c r="J777" s="8">
        <f>IF(G777="","ไม่ครบ","ครบ")</f>
        <v/>
      </c>
      <c r="K777" s="8">
        <f>IF(OR(F777="",G777=""),"ไม่ผ่าน",IF(H777&gt;=90,"ผ่าน","ไม่ผ่าน"))</f>
        <v/>
      </c>
      <c r="L777" s="8">
        <f>IF(K777="ผ่าน",1,0)</f>
        <v/>
      </c>
      <c r="N777" s="7" t="n"/>
    </row>
    <row r="778">
      <c r="F778" s="7" t="n"/>
      <c r="G778" s="7" t="n"/>
      <c r="H778" s="8">
        <f>IF(OR(F778="",G778=""),"",MAX(0,ROUND((G778-F778)*1440,0)))</f>
        <v/>
      </c>
      <c r="I778" s="8">
        <f>IF(F778="","ไม่ครบ","ครบ")</f>
        <v/>
      </c>
      <c r="J778" s="8">
        <f>IF(G778="","ไม่ครบ","ครบ")</f>
        <v/>
      </c>
      <c r="K778" s="8">
        <f>IF(OR(F778="",G778=""),"ไม่ผ่าน",IF(H778&gt;=90,"ผ่าน","ไม่ผ่าน"))</f>
        <v/>
      </c>
      <c r="L778" s="8">
        <f>IF(K778="ผ่าน",1,0)</f>
        <v/>
      </c>
      <c r="N778" s="7" t="n"/>
    </row>
    <row r="779">
      <c r="F779" s="7" t="n"/>
      <c r="G779" s="7" t="n"/>
      <c r="H779" s="8">
        <f>IF(OR(F779="",G779=""),"",MAX(0,ROUND((G779-F779)*1440,0)))</f>
        <v/>
      </c>
      <c r="I779" s="8">
        <f>IF(F779="","ไม่ครบ","ครบ")</f>
        <v/>
      </c>
      <c r="J779" s="8">
        <f>IF(G779="","ไม่ครบ","ครบ")</f>
        <v/>
      </c>
      <c r="K779" s="8">
        <f>IF(OR(F779="",G779=""),"ไม่ผ่าน",IF(H779&gt;=90,"ผ่าน","ไม่ผ่าน"))</f>
        <v/>
      </c>
      <c r="L779" s="8">
        <f>IF(K779="ผ่าน",1,0)</f>
        <v/>
      </c>
      <c r="N779" s="7" t="n"/>
    </row>
    <row r="780">
      <c r="F780" s="7" t="n"/>
      <c r="G780" s="7" t="n"/>
      <c r="H780" s="8">
        <f>IF(OR(F780="",G780=""),"",MAX(0,ROUND((G780-F780)*1440,0)))</f>
        <v/>
      </c>
      <c r="I780" s="8">
        <f>IF(F780="","ไม่ครบ","ครบ")</f>
        <v/>
      </c>
      <c r="J780" s="8">
        <f>IF(G780="","ไม่ครบ","ครบ")</f>
        <v/>
      </c>
      <c r="K780" s="8">
        <f>IF(OR(F780="",G780=""),"ไม่ผ่าน",IF(H780&gt;=90,"ผ่าน","ไม่ผ่าน"))</f>
        <v/>
      </c>
      <c r="L780" s="8">
        <f>IF(K780="ผ่าน",1,0)</f>
        <v/>
      </c>
      <c r="N780" s="7" t="n"/>
    </row>
    <row r="781">
      <c r="F781" s="7" t="n"/>
      <c r="G781" s="7" t="n"/>
      <c r="H781" s="8">
        <f>IF(OR(F781="",G781=""),"",MAX(0,ROUND((G781-F781)*1440,0)))</f>
        <v/>
      </c>
      <c r="I781" s="8">
        <f>IF(F781="","ไม่ครบ","ครบ")</f>
        <v/>
      </c>
      <c r="J781" s="8">
        <f>IF(G781="","ไม่ครบ","ครบ")</f>
        <v/>
      </c>
      <c r="K781" s="8">
        <f>IF(OR(F781="",G781=""),"ไม่ผ่าน",IF(H781&gt;=90,"ผ่าน","ไม่ผ่าน"))</f>
        <v/>
      </c>
      <c r="L781" s="8">
        <f>IF(K781="ผ่าน",1,0)</f>
        <v/>
      </c>
      <c r="N781" s="7" t="n"/>
    </row>
    <row r="782">
      <c r="F782" s="7" t="n"/>
      <c r="G782" s="7" t="n"/>
      <c r="H782" s="8">
        <f>IF(OR(F782="",G782=""),"",MAX(0,ROUND((G782-F782)*1440,0)))</f>
        <v/>
      </c>
      <c r="I782" s="8">
        <f>IF(F782="","ไม่ครบ","ครบ")</f>
        <v/>
      </c>
      <c r="J782" s="8">
        <f>IF(G782="","ไม่ครบ","ครบ")</f>
        <v/>
      </c>
      <c r="K782" s="8">
        <f>IF(OR(F782="",G782=""),"ไม่ผ่าน",IF(H782&gt;=90,"ผ่าน","ไม่ผ่าน"))</f>
        <v/>
      </c>
      <c r="L782" s="8">
        <f>IF(K782="ผ่าน",1,0)</f>
        <v/>
      </c>
      <c r="N782" s="7" t="n"/>
    </row>
    <row r="783">
      <c r="F783" s="7" t="n"/>
      <c r="G783" s="7" t="n"/>
      <c r="H783" s="8">
        <f>IF(OR(F783="",G783=""),"",MAX(0,ROUND((G783-F783)*1440,0)))</f>
        <v/>
      </c>
      <c r="I783" s="8">
        <f>IF(F783="","ไม่ครบ","ครบ")</f>
        <v/>
      </c>
      <c r="J783" s="8">
        <f>IF(G783="","ไม่ครบ","ครบ")</f>
        <v/>
      </c>
      <c r="K783" s="8">
        <f>IF(OR(F783="",G783=""),"ไม่ผ่าน",IF(H783&gt;=90,"ผ่าน","ไม่ผ่าน"))</f>
        <v/>
      </c>
      <c r="L783" s="8">
        <f>IF(K783="ผ่าน",1,0)</f>
        <v/>
      </c>
      <c r="N783" s="7" t="n"/>
    </row>
    <row r="784">
      <c r="F784" s="7" t="n"/>
      <c r="G784" s="7" t="n"/>
      <c r="H784" s="8">
        <f>IF(OR(F784="",G784=""),"",MAX(0,ROUND((G784-F784)*1440,0)))</f>
        <v/>
      </c>
      <c r="I784" s="8">
        <f>IF(F784="","ไม่ครบ","ครบ")</f>
        <v/>
      </c>
      <c r="J784" s="8">
        <f>IF(G784="","ไม่ครบ","ครบ")</f>
        <v/>
      </c>
      <c r="K784" s="8">
        <f>IF(OR(F784="",G784=""),"ไม่ผ่าน",IF(H784&gt;=90,"ผ่าน","ไม่ผ่าน"))</f>
        <v/>
      </c>
      <c r="L784" s="8">
        <f>IF(K784="ผ่าน",1,0)</f>
        <v/>
      </c>
      <c r="N784" s="7" t="n"/>
    </row>
    <row r="785">
      <c r="F785" s="7" t="n"/>
      <c r="G785" s="7" t="n"/>
      <c r="H785" s="8">
        <f>IF(OR(F785="",G785=""),"",MAX(0,ROUND((G785-F785)*1440,0)))</f>
        <v/>
      </c>
      <c r="I785" s="8">
        <f>IF(F785="","ไม่ครบ","ครบ")</f>
        <v/>
      </c>
      <c r="J785" s="8">
        <f>IF(G785="","ไม่ครบ","ครบ")</f>
        <v/>
      </c>
      <c r="K785" s="8">
        <f>IF(OR(F785="",G785=""),"ไม่ผ่าน",IF(H785&gt;=90,"ผ่าน","ไม่ผ่าน"))</f>
        <v/>
      </c>
      <c r="L785" s="8">
        <f>IF(K785="ผ่าน",1,0)</f>
        <v/>
      </c>
      <c r="N785" s="7" t="n"/>
    </row>
    <row r="786">
      <c r="F786" s="7" t="n"/>
      <c r="G786" s="7" t="n"/>
      <c r="H786" s="8">
        <f>IF(OR(F786="",G786=""),"",MAX(0,ROUND((G786-F786)*1440,0)))</f>
        <v/>
      </c>
      <c r="I786" s="8">
        <f>IF(F786="","ไม่ครบ","ครบ")</f>
        <v/>
      </c>
      <c r="J786" s="8">
        <f>IF(G786="","ไม่ครบ","ครบ")</f>
        <v/>
      </c>
      <c r="K786" s="8">
        <f>IF(OR(F786="",G786=""),"ไม่ผ่าน",IF(H786&gt;=90,"ผ่าน","ไม่ผ่าน"))</f>
        <v/>
      </c>
      <c r="L786" s="8">
        <f>IF(K786="ผ่าน",1,0)</f>
        <v/>
      </c>
      <c r="N786" s="7" t="n"/>
    </row>
    <row r="787">
      <c r="F787" s="7" t="n"/>
      <c r="G787" s="7" t="n"/>
      <c r="H787" s="8">
        <f>IF(OR(F787="",G787=""),"",MAX(0,ROUND((G787-F787)*1440,0)))</f>
        <v/>
      </c>
      <c r="I787" s="8">
        <f>IF(F787="","ไม่ครบ","ครบ")</f>
        <v/>
      </c>
      <c r="J787" s="8">
        <f>IF(G787="","ไม่ครบ","ครบ")</f>
        <v/>
      </c>
      <c r="K787" s="8">
        <f>IF(OR(F787="",G787=""),"ไม่ผ่าน",IF(H787&gt;=90,"ผ่าน","ไม่ผ่าน"))</f>
        <v/>
      </c>
      <c r="L787" s="8">
        <f>IF(K787="ผ่าน",1,0)</f>
        <v/>
      </c>
      <c r="N787" s="7" t="n"/>
    </row>
    <row r="788">
      <c r="F788" s="7" t="n"/>
      <c r="G788" s="7" t="n"/>
      <c r="H788" s="8">
        <f>IF(OR(F788="",G788=""),"",MAX(0,ROUND((G788-F788)*1440,0)))</f>
        <v/>
      </c>
      <c r="I788" s="8">
        <f>IF(F788="","ไม่ครบ","ครบ")</f>
        <v/>
      </c>
      <c r="J788" s="8">
        <f>IF(G788="","ไม่ครบ","ครบ")</f>
        <v/>
      </c>
      <c r="K788" s="8">
        <f>IF(OR(F788="",G788=""),"ไม่ผ่าน",IF(H788&gt;=90,"ผ่าน","ไม่ผ่าน"))</f>
        <v/>
      </c>
      <c r="L788" s="8">
        <f>IF(K788="ผ่าน",1,0)</f>
        <v/>
      </c>
      <c r="N788" s="7" t="n"/>
    </row>
    <row r="789">
      <c r="F789" s="7" t="n"/>
      <c r="G789" s="7" t="n"/>
      <c r="H789" s="8">
        <f>IF(OR(F789="",G789=""),"",MAX(0,ROUND((G789-F789)*1440,0)))</f>
        <v/>
      </c>
      <c r="I789" s="8">
        <f>IF(F789="","ไม่ครบ","ครบ")</f>
        <v/>
      </c>
      <c r="J789" s="8">
        <f>IF(G789="","ไม่ครบ","ครบ")</f>
        <v/>
      </c>
      <c r="K789" s="8">
        <f>IF(OR(F789="",G789=""),"ไม่ผ่าน",IF(H789&gt;=90,"ผ่าน","ไม่ผ่าน"))</f>
        <v/>
      </c>
      <c r="L789" s="8">
        <f>IF(K789="ผ่าน",1,0)</f>
        <v/>
      </c>
      <c r="N789" s="7" t="n"/>
    </row>
    <row r="790">
      <c r="F790" s="7" t="n"/>
      <c r="G790" s="7" t="n"/>
      <c r="H790" s="8">
        <f>IF(OR(F790="",G790=""),"",MAX(0,ROUND((G790-F790)*1440,0)))</f>
        <v/>
      </c>
      <c r="I790" s="8">
        <f>IF(F790="","ไม่ครบ","ครบ")</f>
        <v/>
      </c>
      <c r="J790" s="8">
        <f>IF(G790="","ไม่ครบ","ครบ")</f>
        <v/>
      </c>
      <c r="K790" s="8">
        <f>IF(OR(F790="",G790=""),"ไม่ผ่าน",IF(H790&gt;=90,"ผ่าน","ไม่ผ่าน"))</f>
        <v/>
      </c>
      <c r="L790" s="8">
        <f>IF(K790="ผ่าน",1,0)</f>
        <v/>
      </c>
      <c r="N790" s="7" t="n"/>
    </row>
    <row r="791">
      <c r="F791" s="7" t="n"/>
      <c r="G791" s="7" t="n"/>
      <c r="H791" s="8">
        <f>IF(OR(F791="",G791=""),"",MAX(0,ROUND((G791-F791)*1440,0)))</f>
        <v/>
      </c>
      <c r="I791" s="8">
        <f>IF(F791="","ไม่ครบ","ครบ")</f>
        <v/>
      </c>
      <c r="J791" s="8">
        <f>IF(G791="","ไม่ครบ","ครบ")</f>
        <v/>
      </c>
      <c r="K791" s="8">
        <f>IF(OR(F791="",G791=""),"ไม่ผ่าน",IF(H791&gt;=90,"ผ่าน","ไม่ผ่าน"))</f>
        <v/>
      </c>
      <c r="L791" s="8">
        <f>IF(K791="ผ่าน",1,0)</f>
        <v/>
      </c>
      <c r="N791" s="7" t="n"/>
    </row>
    <row r="792">
      <c r="F792" s="7" t="n"/>
      <c r="G792" s="7" t="n"/>
      <c r="H792" s="8">
        <f>IF(OR(F792="",G792=""),"",MAX(0,ROUND((G792-F792)*1440,0)))</f>
        <v/>
      </c>
      <c r="I792" s="8">
        <f>IF(F792="","ไม่ครบ","ครบ")</f>
        <v/>
      </c>
      <c r="J792" s="8">
        <f>IF(G792="","ไม่ครบ","ครบ")</f>
        <v/>
      </c>
      <c r="K792" s="8">
        <f>IF(OR(F792="",G792=""),"ไม่ผ่าน",IF(H792&gt;=90,"ผ่าน","ไม่ผ่าน"))</f>
        <v/>
      </c>
      <c r="L792" s="8">
        <f>IF(K792="ผ่าน",1,0)</f>
        <v/>
      </c>
      <c r="N792" s="7" t="n"/>
    </row>
    <row r="793">
      <c r="F793" s="7" t="n"/>
      <c r="G793" s="7" t="n"/>
      <c r="H793" s="8">
        <f>IF(OR(F793="",G793=""),"",MAX(0,ROUND((G793-F793)*1440,0)))</f>
        <v/>
      </c>
      <c r="I793" s="8">
        <f>IF(F793="","ไม่ครบ","ครบ")</f>
        <v/>
      </c>
      <c r="J793" s="8">
        <f>IF(G793="","ไม่ครบ","ครบ")</f>
        <v/>
      </c>
      <c r="K793" s="8">
        <f>IF(OR(F793="",G793=""),"ไม่ผ่าน",IF(H793&gt;=90,"ผ่าน","ไม่ผ่าน"))</f>
        <v/>
      </c>
      <c r="L793" s="8">
        <f>IF(K793="ผ่าน",1,0)</f>
        <v/>
      </c>
      <c r="N793" s="7" t="n"/>
    </row>
    <row r="794">
      <c r="F794" s="7" t="n"/>
      <c r="G794" s="7" t="n"/>
      <c r="H794" s="8">
        <f>IF(OR(F794="",G794=""),"",MAX(0,ROUND((G794-F794)*1440,0)))</f>
        <v/>
      </c>
      <c r="I794" s="8">
        <f>IF(F794="","ไม่ครบ","ครบ")</f>
        <v/>
      </c>
      <c r="J794" s="8">
        <f>IF(G794="","ไม่ครบ","ครบ")</f>
        <v/>
      </c>
      <c r="K794" s="8">
        <f>IF(OR(F794="",G794=""),"ไม่ผ่าน",IF(H794&gt;=90,"ผ่าน","ไม่ผ่าน"))</f>
        <v/>
      </c>
      <c r="L794" s="8">
        <f>IF(K794="ผ่าน",1,0)</f>
        <v/>
      </c>
      <c r="N794" s="7" t="n"/>
    </row>
    <row r="795">
      <c r="F795" s="7" t="n"/>
      <c r="G795" s="7" t="n"/>
      <c r="H795" s="8">
        <f>IF(OR(F795="",G795=""),"",MAX(0,ROUND((G795-F795)*1440,0)))</f>
        <v/>
      </c>
      <c r="I795" s="8">
        <f>IF(F795="","ไม่ครบ","ครบ")</f>
        <v/>
      </c>
      <c r="J795" s="8">
        <f>IF(G795="","ไม่ครบ","ครบ")</f>
        <v/>
      </c>
      <c r="K795" s="8">
        <f>IF(OR(F795="",G795=""),"ไม่ผ่าน",IF(H795&gt;=90,"ผ่าน","ไม่ผ่าน"))</f>
        <v/>
      </c>
      <c r="L795" s="8">
        <f>IF(K795="ผ่าน",1,0)</f>
        <v/>
      </c>
      <c r="N795" s="7" t="n"/>
    </row>
    <row r="796">
      <c r="F796" s="7" t="n"/>
      <c r="G796" s="7" t="n"/>
      <c r="H796" s="8">
        <f>IF(OR(F796="",G796=""),"",MAX(0,ROUND((G796-F796)*1440,0)))</f>
        <v/>
      </c>
      <c r="I796" s="8">
        <f>IF(F796="","ไม่ครบ","ครบ")</f>
        <v/>
      </c>
      <c r="J796" s="8">
        <f>IF(G796="","ไม่ครบ","ครบ")</f>
        <v/>
      </c>
      <c r="K796" s="8">
        <f>IF(OR(F796="",G796=""),"ไม่ผ่าน",IF(H796&gt;=90,"ผ่าน","ไม่ผ่าน"))</f>
        <v/>
      </c>
      <c r="L796" s="8">
        <f>IF(K796="ผ่าน",1,0)</f>
        <v/>
      </c>
      <c r="N796" s="7" t="n"/>
    </row>
    <row r="797">
      <c r="F797" s="7" t="n"/>
      <c r="G797" s="7" t="n"/>
      <c r="H797" s="8">
        <f>IF(OR(F797="",G797=""),"",MAX(0,ROUND((G797-F797)*1440,0)))</f>
        <v/>
      </c>
      <c r="I797" s="8">
        <f>IF(F797="","ไม่ครบ","ครบ")</f>
        <v/>
      </c>
      <c r="J797" s="8">
        <f>IF(G797="","ไม่ครบ","ครบ")</f>
        <v/>
      </c>
      <c r="K797" s="8">
        <f>IF(OR(F797="",G797=""),"ไม่ผ่าน",IF(H797&gt;=90,"ผ่าน","ไม่ผ่าน"))</f>
        <v/>
      </c>
      <c r="L797" s="8">
        <f>IF(K797="ผ่าน",1,0)</f>
        <v/>
      </c>
      <c r="N797" s="7" t="n"/>
    </row>
    <row r="798">
      <c r="F798" s="7" t="n"/>
      <c r="G798" s="7" t="n"/>
      <c r="H798" s="8">
        <f>IF(OR(F798="",G798=""),"",MAX(0,ROUND((G798-F798)*1440,0)))</f>
        <v/>
      </c>
      <c r="I798" s="8">
        <f>IF(F798="","ไม่ครบ","ครบ")</f>
        <v/>
      </c>
      <c r="J798" s="8">
        <f>IF(G798="","ไม่ครบ","ครบ")</f>
        <v/>
      </c>
      <c r="K798" s="8">
        <f>IF(OR(F798="",G798=""),"ไม่ผ่าน",IF(H798&gt;=90,"ผ่าน","ไม่ผ่าน"))</f>
        <v/>
      </c>
      <c r="L798" s="8">
        <f>IF(K798="ผ่าน",1,0)</f>
        <v/>
      </c>
      <c r="N798" s="7" t="n"/>
    </row>
    <row r="799">
      <c r="F799" s="7" t="n"/>
      <c r="G799" s="7" t="n"/>
      <c r="H799" s="8">
        <f>IF(OR(F799="",G799=""),"",MAX(0,ROUND((G799-F799)*1440,0)))</f>
        <v/>
      </c>
      <c r="I799" s="8">
        <f>IF(F799="","ไม่ครบ","ครบ")</f>
        <v/>
      </c>
      <c r="J799" s="8">
        <f>IF(G799="","ไม่ครบ","ครบ")</f>
        <v/>
      </c>
      <c r="K799" s="8">
        <f>IF(OR(F799="",G799=""),"ไม่ผ่าน",IF(H799&gt;=90,"ผ่าน","ไม่ผ่าน"))</f>
        <v/>
      </c>
      <c r="L799" s="8">
        <f>IF(K799="ผ่าน",1,0)</f>
        <v/>
      </c>
      <c r="N799" s="7" t="n"/>
    </row>
    <row r="800">
      <c r="F800" s="7" t="n"/>
      <c r="G800" s="7" t="n"/>
      <c r="H800" s="8">
        <f>IF(OR(F800="",G800=""),"",MAX(0,ROUND((G800-F800)*1440,0)))</f>
        <v/>
      </c>
      <c r="I800" s="8">
        <f>IF(F800="","ไม่ครบ","ครบ")</f>
        <v/>
      </c>
      <c r="J800" s="8">
        <f>IF(G800="","ไม่ครบ","ครบ")</f>
        <v/>
      </c>
      <c r="K800" s="8">
        <f>IF(OR(F800="",G800=""),"ไม่ผ่าน",IF(H800&gt;=90,"ผ่าน","ไม่ผ่าน"))</f>
        <v/>
      </c>
      <c r="L800" s="8">
        <f>IF(K800="ผ่าน",1,0)</f>
        <v/>
      </c>
      <c r="N800" s="7" t="n"/>
    </row>
    <row r="801">
      <c r="F801" s="7" t="n"/>
      <c r="G801" s="7" t="n"/>
      <c r="H801" s="8">
        <f>IF(OR(F801="",G801=""),"",MAX(0,ROUND((G801-F801)*1440,0)))</f>
        <v/>
      </c>
      <c r="I801" s="8">
        <f>IF(F801="","ไม่ครบ","ครบ")</f>
        <v/>
      </c>
      <c r="J801" s="8">
        <f>IF(G801="","ไม่ครบ","ครบ")</f>
        <v/>
      </c>
      <c r="K801" s="8">
        <f>IF(OR(F801="",G801=""),"ไม่ผ่าน",IF(H801&gt;=90,"ผ่าน","ไม่ผ่าน"))</f>
        <v/>
      </c>
      <c r="L801" s="8">
        <f>IF(K801="ผ่าน",1,0)</f>
        <v/>
      </c>
      <c r="N801" s="7" t="n"/>
    </row>
    <row r="802">
      <c r="F802" s="7" t="n"/>
      <c r="G802" s="7" t="n"/>
      <c r="H802" s="8">
        <f>IF(OR(F802="",G802=""),"",MAX(0,ROUND((G802-F802)*1440,0)))</f>
        <v/>
      </c>
      <c r="I802" s="8">
        <f>IF(F802="","ไม่ครบ","ครบ")</f>
        <v/>
      </c>
      <c r="J802" s="8">
        <f>IF(G802="","ไม่ครบ","ครบ")</f>
        <v/>
      </c>
      <c r="K802" s="8">
        <f>IF(OR(F802="",G802=""),"ไม่ผ่าน",IF(H802&gt;=90,"ผ่าน","ไม่ผ่าน"))</f>
        <v/>
      </c>
      <c r="L802" s="8">
        <f>IF(K802="ผ่าน",1,0)</f>
        <v/>
      </c>
      <c r="N802" s="7" t="n"/>
    </row>
    <row r="803">
      <c r="F803" s="7" t="n"/>
      <c r="G803" s="7" t="n"/>
      <c r="H803" s="8">
        <f>IF(OR(F803="",G803=""),"",MAX(0,ROUND((G803-F803)*1440,0)))</f>
        <v/>
      </c>
      <c r="I803" s="8">
        <f>IF(F803="","ไม่ครบ","ครบ")</f>
        <v/>
      </c>
      <c r="J803" s="8">
        <f>IF(G803="","ไม่ครบ","ครบ")</f>
        <v/>
      </c>
      <c r="K803" s="8">
        <f>IF(OR(F803="",G803=""),"ไม่ผ่าน",IF(H803&gt;=90,"ผ่าน","ไม่ผ่าน"))</f>
        <v/>
      </c>
      <c r="L803" s="8">
        <f>IF(K803="ผ่าน",1,0)</f>
        <v/>
      </c>
      <c r="N803" s="7" t="n"/>
    </row>
    <row r="804">
      <c r="F804" s="7" t="n"/>
      <c r="G804" s="7" t="n"/>
      <c r="H804" s="8">
        <f>IF(OR(F804="",G804=""),"",MAX(0,ROUND((G804-F804)*1440,0)))</f>
        <v/>
      </c>
      <c r="I804" s="8">
        <f>IF(F804="","ไม่ครบ","ครบ")</f>
        <v/>
      </c>
      <c r="J804" s="8">
        <f>IF(G804="","ไม่ครบ","ครบ")</f>
        <v/>
      </c>
      <c r="K804" s="8">
        <f>IF(OR(F804="",G804=""),"ไม่ผ่าน",IF(H804&gt;=90,"ผ่าน","ไม่ผ่าน"))</f>
        <v/>
      </c>
      <c r="L804" s="8">
        <f>IF(K804="ผ่าน",1,0)</f>
        <v/>
      </c>
      <c r="N804" s="7" t="n"/>
    </row>
    <row r="805">
      <c r="F805" s="7" t="n"/>
      <c r="G805" s="7" t="n"/>
      <c r="H805" s="8">
        <f>IF(OR(F805="",G805=""),"",MAX(0,ROUND((G805-F805)*1440,0)))</f>
        <v/>
      </c>
      <c r="I805" s="8">
        <f>IF(F805="","ไม่ครบ","ครบ")</f>
        <v/>
      </c>
      <c r="J805" s="8">
        <f>IF(G805="","ไม่ครบ","ครบ")</f>
        <v/>
      </c>
      <c r="K805" s="8">
        <f>IF(OR(F805="",G805=""),"ไม่ผ่าน",IF(H805&gt;=90,"ผ่าน","ไม่ผ่าน"))</f>
        <v/>
      </c>
      <c r="L805" s="8">
        <f>IF(K805="ผ่าน",1,0)</f>
        <v/>
      </c>
      <c r="N805" s="7" t="n"/>
    </row>
    <row r="806">
      <c r="F806" s="7" t="n"/>
      <c r="G806" s="7" t="n"/>
      <c r="H806" s="8">
        <f>IF(OR(F806="",G806=""),"",MAX(0,ROUND((G806-F806)*1440,0)))</f>
        <v/>
      </c>
      <c r="I806" s="8">
        <f>IF(F806="","ไม่ครบ","ครบ")</f>
        <v/>
      </c>
      <c r="J806" s="8">
        <f>IF(G806="","ไม่ครบ","ครบ")</f>
        <v/>
      </c>
      <c r="K806" s="8">
        <f>IF(OR(F806="",G806=""),"ไม่ผ่าน",IF(H806&gt;=90,"ผ่าน","ไม่ผ่าน"))</f>
        <v/>
      </c>
      <c r="L806" s="8">
        <f>IF(K806="ผ่าน",1,0)</f>
        <v/>
      </c>
      <c r="N806" s="7" t="n"/>
    </row>
    <row r="807">
      <c r="F807" s="7" t="n"/>
      <c r="G807" s="7" t="n"/>
      <c r="H807" s="8">
        <f>IF(OR(F807="",G807=""),"",MAX(0,ROUND((G807-F807)*1440,0)))</f>
        <v/>
      </c>
      <c r="I807" s="8">
        <f>IF(F807="","ไม่ครบ","ครบ")</f>
        <v/>
      </c>
      <c r="J807" s="8">
        <f>IF(G807="","ไม่ครบ","ครบ")</f>
        <v/>
      </c>
      <c r="K807" s="8">
        <f>IF(OR(F807="",G807=""),"ไม่ผ่าน",IF(H807&gt;=90,"ผ่าน","ไม่ผ่าน"))</f>
        <v/>
      </c>
      <c r="L807" s="8">
        <f>IF(K807="ผ่าน",1,0)</f>
        <v/>
      </c>
      <c r="N807" s="7" t="n"/>
    </row>
    <row r="808">
      <c r="F808" s="7" t="n"/>
      <c r="G808" s="7" t="n"/>
      <c r="H808" s="8">
        <f>IF(OR(F808="",G808=""),"",MAX(0,ROUND((G808-F808)*1440,0)))</f>
        <v/>
      </c>
      <c r="I808" s="8">
        <f>IF(F808="","ไม่ครบ","ครบ")</f>
        <v/>
      </c>
      <c r="J808" s="8">
        <f>IF(G808="","ไม่ครบ","ครบ")</f>
        <v/>
      </c>
      <c r="K808" s="8">
        <f>IF(OR(F808="",G808=""),"ไม่ผ่าน",IF(H808&gt;=90,"ผ่าน","ไม่ผ่าน"))</f>
        <v/>
      </c>
      <c r="L808" s="8">
        <f>IF(K808="ผ่าน",1,0)</f>
        <v/>
      </c>
      <c r="N808" s="7" t="n"/>
    </row>
    <row r="809">
      <c r="F809" s="7" t="n"/>
      <c r="G809" s="7" t="n"/>
      <c r="H809" s="8">
        <f>IF(OR(F809="",G809=""),"",MAX(0,ROUND((G809-F809)*1440,0)))</f>
        <v/>
      </c>
      <c r="I809" s="8">
        <f>IF(F809="","ไม่ครบ","ครบ")</f>
        <v/>
      </c>
      <c r="J809" s="8">
        <f>IF(G809="","ไม่ครบ","ครบ")</f>
        <v/>
      </c>
      <c r="K809" s="8">
        <f>IF(OR(F809="",G809=""),"ไม่ผ่าน",IF(H809&gt;=90,"ผ่าน","ไม่ผ่าน"))</f>
        <v/>
      </c>
      <c r="L809" s="8">
        <f>IF(K809="ผ่าน",1,0)</f>
        <v/>
      </c>
      <c r="N809" s="7" t="n"/>
    </row>
    <row r="810">
      <c r="F810" s="7" t="n"/>
      <c r="G810" s="7" t="n"/>
      <c r="H810" s="8">
        <f>IF(OR(F810="",G810=""),"",MAX(0,ROUND((G810-F810)*1440,0)))</f>
        <v/>
      </c>
      <c r="I810" s="8">
        <f>IF(F810="","ไม่ครบ","ครบ")</f>
        <v/>
      </c>
      <c r="J810" s="8">
        <f>IF(G810="","ไม่ครบ","ครบ")</f>
        <v/>
      </c>
      <c r="K810" s="8">
        <f>IF(OR(F810="",G810=""),"ไม่ผ่าน",IF(H810&gt;=90,"ผ่าน","ไม่ผ่าน"))</f>
        <v/>
      </c>
      <c r="L810" s="8">
        <f>IF(K810="ผ่าน",1,0)</f>
        <v/>
      </c>
      <c r="N810" s="7" t="n"/>
    </row>
    <row r="811">
      <c r="F811" s="7" t="n"/>
      <c r="G811" s="7" t="n"/>
      <c r="H811" s="8">
        <f>IF(OR(F811="",G811=""),"",MAX(0,ROUND((G811-F811)*1440,0)))</f>
        <v/>
      </c>
      <c r="I811" s="8">
        <f>IF(F811="","ไม่ครบ","ครบ")</f>
        <v/>
      </c>
      <c r="J811" s="8">
        <f>IF(G811="","ไม่ครบ","ครบ")</f>
        <v/>
      </c>
      <c r="K811" s="8">
        <f>IF(OR(F811="",G811=""),"ไม่ผ่าน",IF(H811&gt;=90,"ผ่าน","ไม่ผ่าน"))</f>
        <v/>
      </c>
      <c r="L811" s="8">
        <f>IF(K811="ผ่าน",1,0)</f>
        <v/>
      </c>
      <c r="N811" s="7" t="n"/>
    </row>
    <row r="812">
      <c r="F812" s="7" t="n"/>
      <c r="G812" s="7" t="n"/>
      <c r="H812" s="8">
        <f>IF(OR(F812="",G812=""),"",MAX(0,ROUND((G812-F812)*1440,0)))</f>
        <v/>
      </c>
      <c r="I812" s="8">
        <f>IF(F812="","ไม่ครบ","ครบ")</f>
        <v/>
      </c>
      <c r="J812" s="8">
        <f>IF(G812="","ไม่ครบ","ครบ")</f>
        <v/>
      </c>
      <c r="K812" s="8">
        <f>IF(OR(F812="",G812=""),"ไม่ผ่าน",IF(H812&gt;=90,"ผ่าน","ไม่ผ่าน"))</f>
        <v/>
      </c>
      <c r="L812" s="8">
        <f>IF(K812="ผ่าน",1,0)</f>
        <v/>
      </c>
      <c r="N812" s="7" t="n"/>
    </row>
    <row r="813">
      <c r="F813" s="7" t="n"/>
      <c r="G813" s="7" t="n"/>
      <c r="H813" s="8">
        <f>IF(OR(F813="",G813=""),"",MAX(0,ROUND((G813-F813)*1440,0)))</f>
        <v/>
      </c>
      <c r="I813" s="8">
        <f>IF(F813="","ไม่ครบ","ครบ")</f>
        <v/>
      </c>
      <c r="J813" s="8">
        <f>IF(G813="","ไม่ครบ","ครบ")</f>
        <v/>
      </c>
      <c r="K813" s="8">
        <f>IF(OR(F813="",G813=""),"ไม่ผ่าน",IF(H813&gt;=90,"ผ่าน","ไม่ผ่าน"))</f>
        <v/>
      </c>
      <c r="L813" s="8">
        <f>IF(K813="ผ่าน",1,0)</f>
        <v/>
      </c>
      <c r="N813" s="7" t="n"/>
    </row>
    <row r="814">
      <c r="F814" s="7" t="n"/>
      <c r="G814" s="7" t="n"/>
      <c r="H814" s="8">
        <f>IF(OR(F814="",G814=""),"",MAX(0,ROUND((G814-F814)*1440,0)))</f>
        <v/>
      </c>
      <c r="I814" s="8">
        <f>IF(F814="","ไม่ครบ","ครบ")</f>
        <v/>
      </c>
      <c r="J814" s="8">
        <f>IF(G814="","ไม่ครบ","ครบ")</f>
        <v/>
      </c>
      <c r="K814" s="8">
        <f>IF(OR(F814="",G814=""),"ไม่ผ่าน",IF(H814&gt;=90,"ผ่าน","ไม่ผ่าน"))</f>
        <v/>
      </c>
      <c r="L814" s="8">
        <f>IF(K814="ผ่าน",1,0)</f>
        <v/>
      </c>
      <c r="N814" s="7" t="n"/>
    </row>
    <row r="815">
      <c r="F815" s="7" t="n"/>
      <c r="G815" s="7" t="n"/>
      <c r="H815" s="8">
        <f>IF(OR(F815="",G815=""),"",MAX(0,ROUND((G815-F815)*1440,0)))</f>
        <v/>
      </c>
      <c r="I815" s="8">
        <f>IF(F815="","ไม่ครบ","ครบ")</f>
        <v/>
      </c>
      <c r="J815" s="8">
        <f>IF(G815="","ไม่ครบ","ครบ")</f>
        <v/>
      </c>
      <c r="K815" s="8">
        <f>IF(OR(F815="",G815=""),"ไม่ผ่าน",IF(H815&gt;=90,"ผ่าน","ไม่ผ่าน"))</f>
        <v/>
      </c>
      <c r="L815" s="8">
        <f>IF(K815="ผ่าน",1,0)</f>
        <v/>
      </c>
      <c r="N815" s="7" t="n"/>
    </row>
    <row r="816">
      <c r="F816" s="7" t="n"/>
      <c r="G816" s="7" t="n"/>
      <c r="H816" s="8">
        <f>IF(OR(F816="",G816=""),"",MAX(0,ROUND((G816-F816)*1440,0)))</f>
        <v/>
      </c>
      <c r="I816" s="8">
        <f>IF(F816="","ไม่ครบ","ครบ")</f>
        <v/>
      </c>
      <c r="J816" s="8">
        <f>IF(G816="","ไม่ครบ","ครบ")</f>
        <v/>
      </c>
      <c r="K816" s="8">
        <f>IF(OR(F816="",G816=""),"ไม่ผ่าน",IF(H816&gt;=90,"ผ่าน","ไม่ผ่าน"))</f>
        <v/>
      </c>
      <c r="L816" s="8">
        <f>IF(K816="ผ่าน",1,0)</f>
        <v/>
      </c>
      <c r="N816" s="7" t="n"/>
    </row>
    <row r="817">
      <c r="F817" s="7" t="n"/>
      <c r="G817" s="7" t="n"/>
      <c r="H817" s="8">
        <f>IF(OR(F817="",G817=""),"",MAX(0,ROUND((G817-F817)*1440,0)))</f>
        <v/>
      </c>
      <c r="I817" s="8">
        <f>IF(F817="","ไม่ครบ","ครบ")</f>
        <v/>
      </c>
      <c r="J817" s="8">
        <f>IF(G817="","ไม่ครบ","ครบ")</f>
        <v/>
      </c>
      <c r="K817" s="8">
        <f>IF(OR(F817="",G817=""),"ไม่ผ่าน",IF(H817&gt;=90,"ผ่าน","ไม่ผ่าน"))</f>
        <v/>
      </c>
      <c r="L817" s="8">
        <f>IF(K817="ผ่าน",1,0)</f>
        <v/>
      </c>
      <c r="N817" s="7" t="n"/>
    </row>
    <row r="818">
      <c r="F818" s="7" t="n"/>
      <c r="G818" s="7" t="n"/>
      <c r="H818" s="8">
        <f>IF(OR(F818="",G818=""),"",MAX(0,ROUND((G818-F818)*1440,0)))</f>
        <v/>
      </c>
      <c r="I818" s="8">
        <f>IF(F818="","ไม่ครบ","ครบ")</f>
        <v/>
      </c>
      <c r="J818" s="8">
        <f>IF(G818="","ไม่ครบ","ครบ")</f>
        <v/>
      </c>
      <c r="K818" s="8">
        <f>IF(OR(F818="",G818=""),"ไม่ผ่าน",IF(H818&gt;=90,"ผ่าน","ไม่ผ่าน"))</f>
        <v/>
      </c>
      <c r="L818" s="8">
        <f>IF(K818="ผ่าน",1,0)</f>
        <v/>
      </c>
      <c r="N818" s="7" t="n"/>
    </row>
    <row r="819">
      <c r="F819" s="7" t="n"/>
      <c r="G819" s="7" t="n"/>
      <c r="H819" s="8">
        <f>IF(OR(F819="",G819=""),"",MAX(0,ROUND((G819-F819)*1440,0)))</f>
        <v/>
      </c>
      <c r="I819" s="8">
        <f>IF(F819="","ไม่ครบ","ครบ")</f>
        <v/>
      </c>
      <c r="J819" s="8">
        <f>IF(G819="","ไม่ครบ","ครบ")</f>
        <v/>
      </c>
      <c r="K819" s="8">
        <f>IF(OR(F819="",G819=""),"ไม่ผ่าน",IF(H819&gt;=90,"ผ่าน","ไม่ผ่าน"))</f>
        <v/>
      </c>
      <c r="L819" s="8">
        <f>IF(K819="ผ่าน",1,0)</f>
        <v/>
      </c>
      <c r="N819" s="7" t="n"/>
    </row>
    <row r="820">
      <c r="F820" s="7" t="n"/>
      <c r="G820" s="7" t="n"/>
      <c r="H820" s="8">
        <f>IF(OR(F820="",G820=""),"",MAX(0,ROUND((G820-F820)*1440,0)))</f>
        <v/>
      </c>
      <c r="I820" s="8">
        <f>IF(F820="","ไม่ครบ","ครบ")</f>
        <v/>
      </c>
      <c r="J820" s="8">
        <f>IF(G820="","ไม่ครบ","ครบ")</f>
        <v/>
      </c>
      <c r="K820" s="8">
        <f>IF(OR(F820="",G820=""),"ไม่ผ่าน",IF(H820&gt;=90,"ผ่าน","ไม่ผ่าน"))</f>
        <v/>
      </c>
      <c r="L820" s="8">
        <f>IF(K820="ผ่าน",1,0)</f>
        <v/>
      </c>
      <c r="N820" s="7" t="n"/>
    </row>
    <row r="821">
      <c r="F821" s="7" t="n"/>
      <c r="G821" s="7" t="n"/>
      <c r="H821" s="8">
        <f>IF(OR(F821="",G821=""),"",MAX(0,ROUND((G821-F821)*1440,0)))</f>
        <v/>
      </c>
      <c r="I821" s="8">
        <f>IF(F821="","ไม่ครบ","ครบ")</f>
        <v/>
      </c>
      <c r="J821" s="8">
        <f>IF(G821="","ไม่ครบ","ครบ")</f>
        <v/>
      </c>
      <c r="K821" s="8">
        <f>IF(OR(F821="",G821=""),"ไม่ผ่าน",IF(H821&gt;=90,"ผ่าน","ไม่ผ่าน"))</f>
        <v/>
      </c>
      <c r="L821" s="8">
        <f>IF(K821="ผ่าน",1,0)</f>
        <v/>
      </c>
      <c r="N821" s="7" t="n"/>
    </row>
    <row r="822">
      <c r="F822" s="7" t="n"/>
      <c r="G822" s="7" t="n"/>
      <c r="H822" s="8">
        <f>IF(OR(F822="",G822=""),"",MAX(0,ROUND((G822-F822)*1440,0)))</f>
        <v/>
      </c>
      <c r="I822" s="8">
        <f>IF(F822="","ไม่ครบ","ครบ")</f>
        <v/>
      </c>
      <c r="J822" s="8">
        <f>IF(G822="","ไม่ครบ","ครบ")</f>
        <v/>
      </c>
      <c r="K822" s="8">
        <f>IF(OR(F822="",G822=""),"ไม่ผ่าน",IF(H822&gt;=90,"ผ่าน","ไม่ผ่าน"))</f>
        <v/>
      </c>
      <c r="L822" s="8">
        <f>IF(K822="ผ่าน",1,0)</f>
        <v/>
      </c>
      <c r="N822" s="7" t="n"/>
    </row>
    <row r="823">
      <c r="F823" s="7" t="n"/>
      <c r="G823" s="7" t="n"/>
      <c r="H823" s="8">
        <f>IF(OR(F823="",G823=""),"",MAX(0,ROUND((G823-F823)*1440,0)))</f>
        <v/>
      </c>
      <c r="I823" s="8">
        <f>IF(F823="","ไม่ครบ","ครบ")</f>
        <v/>
      </c>
      <c r="J823" s="8">
        <f>IF(G823="","ไม่ครบ","ครบ")</f>
        <v/>
      </c>
      <c r="K823" s="8">
        <f>IF(OR(F823="",G823=""),"ไม่ผ่าน",IF(H823&gt;=90,"ผ่าน","ไม่ผ่าน"))</f>
        <v/>
      </c>
      <c r="L823" s="8">
        <f>IF(K823="ผ่าน",1,0)</f>
        <v/>
      </c>
      <c r="N823" s="7" t="n"/>
    </row>
    <row r="824">
      <c r="F824" s="7" t="n"/>
      <c r="G824" s="7" t="n"/>
      <c r="H824" s="8">
        <f>IF(OR(F824="",G824=""),"",MAX(0,ROUND((G824-F824)*1440,0)))</f>
        <v/>
      </c>
      <c r="I824" s="8">
        <f>IF(F824="","ไม่ครบ","ครบ")</f>
        <v/>
      </c>
      <c r="J824" s="8">
        <f>IF(G824="","ไม่ครบ","ครบ")</f>
        <v/>
      </c>
      <c r="K824" s="8">
        <f>IF(OR(F824="",G824=""),"ไม่ผ่าน",IF(H824&gt;=90,"ผ่าน","ไม่ผ่าน"))</f>
        <v/>
      </c>
      <c r="L824" s="8">
        <f>IF(K824="ผ่าน",1,0)</f>
        <v/>
      </c>
      <c r="N824" s="7" t="n"/>
    </row>
    <row r="825">
      <c r="F825" s="7" t="n"/>
      <c r="G825" s="7" t="n"/>
      <c r="H825" s="8">
        <f>IF(OR(F825="",G825=""),"",MAX(0,ROUND((G825-F825)*1440,0)))</f>
        <v/>
      </c>
      <c r="I825" s="8">
        <f>IF(F825="","ไม่ครบ","ครบ")</f>
        <v/>
      </c>
      <c r="J825" s="8">
        <f>IF(G825="","ไม่ครบ","ครบ")</f>
        <v/>
      </c>
      <c r="K825" s="8">
        <f>IF(OR(F825="",G825=""),"ไม่ผ่าน",IF(H825&gt;=90,"ผ่าน","ไม่ผ่าน"))</f>
        <v/>
      </c>
      <c r="L825" s="8">
        <f>IF(K825="ผ่าน",1,0)</f>
        <v/>
      </c>
      <c r="N825" s="7" t="n"/>
    </row>
    <row r="826">
      <c r="F826" s="7" t="n"/>
      <c r="G826" s="7" t="n"/>
      <c r="H826" s="8">
        <f>IF(OR(F826="",G826=""),"",MAX(0,ROUND((G826-F826)*1440,0)))</f>
        <v/>
      </c>
      <c r="I826" s="8">
        <f>IF(F826="","ไม่ครบ","ครบ")</f>
        <v/>
      </c>
      <c r="J826" s="8">
        <f>IF(G826="","ไม่ครบ","ครบ")</f>
        <v/>
      </c>
      <c r="K826" s="8">
        <f>IF(OR(F826="",G826=""),"ไม่ผ่าน",IF(H826&gt;=90,"ผ่าน","ไม่ผ่าน"))</f>
        <v/>
      </c>
      <c r="L826" s="8">
        <f>IF(K826="ผ่าน",1,0)</f>
        <v/>
      </c>
      <c r="N826" s="7" t="n"/>
    </row>
    <row r="827">
      <c r="F827" s="7" t="n"/>
      <c r="G827" s="7" t="n"/>
      <c r="H827" s="8">
        <f>IF(OR(F827="",G827=""),"",MAX(0,ROUND((G827-F827)*1440,0)))</f>
        <v/>
      </c>
      <c r="I827" s="8">
        <f>IF(F827="","ไม่ครบ","ครบ")</f>
        <v/>
      </c>
      <c r="J827" s="8">
        <f>IF(G827="","ไม่ครบ","ครบ")</f>
        <v/>
      </c>
      <c r="K827" s="8">
        <f>IF(OR(F827="",G827=""),"ไม่ผ่าน",IF(H827&gt;=90,"ผ่าน","ไม่ผ่าน"))</f>
        <v/>
      </c>
      <c r="L827" s="8">
        <f>IF(K827="ผ่าน",1,0)</f>
        <v/>
      </c>
      <c r="N827" s="7" t="n"/>
    </row>
    <row r="828">
      <c r="F828" s="7" t="n"/>
      <c r="G828" s="7" t="n"/>
      <c r="H828" s="8">
        <f>IF(OR(F828="",G828=""),"",MAX(0,ROUND((G828-F828)*1440,0)))</f>
        <v/>
      </c>
      <c r="I828" s="8">
        <f>IF(F828="","ไม่ครบ","ครบ")</f>
        <v/>
      </c>
      <c r="J828" s="8">
        <f>IF(G828="","ไม่ครบ","ครบ")</f>
        <v/>
      </c>
      <c r="K828" s="8">
        <f>IF(OR(F828="",G828=""),"ไม่ผ่าน",IF(H828&gt;=90,"ผ่าน","ไม่ผ่าน"))</f>
        <v/>
      </c>
      <c r="L828" s="8">
        <f>IF(K828="ผ่าน",1,0)</f>
        <v/>
      </c>
      <c r="N828" s="7" t="n"/>
    </row>
    <row r="829">
      <c r="F829" s="7" t="n"/>
      <c r="G829" s="7" t="n"/>
      <c r="H829" s="8">
        <f>IF(OR(F829="",G829=""),"",MAX(0,ROUND((G829-F829)*1440,0)))</f>
        <v/>
      </c>
      <c r="I829" s="8">
        <f>IF(F829="","ไม่ครบ","ครบ")</f>
        <v/>
      </c>
      <c r="J829" s="8">
        <f>IF(G829="","ไม่ครบ","ครบ")</f>
        <v/>
      </c>
      <c r="K829" s="8">
        <f>IF(OR(F829="",G829=""),"ไม่ผ่าน",IF(H829&gt;=90,"ผ่าน","ไม่ผ่าน"))</f>
        <v/>
      </c>
      <c r="L829" s="8">
        <f>IF(K829="ผ่าน",1,0)</f>
        <v/>
      </c>
      <c r="N829" s="7" t="n"/>
    </row>
    <row r="830">
      <c r="F830" s="7" t="n"/>
      <c r="G830" s="7" t="n"/>
      <c r="H830" s="8">
        <f>IF(OR(F830="",G830=""),"",MAX(0,ROUND((G830-F830)*1440,0)))</f>
        <v/>
      </c>
      <c r="I830" s="8">
        <f>IF(F830="","ไม่ครบ","ครบ")</f>
        <v/>
      </c>
      <c r="J830" s="8">
        <f>IF(G830="","ไม่ครบ","ครบ")</f>
        <v/>
      </c>
      <c r="K830" s="8">
        <f>IF(OR(F830="",G830=""),"ไม่ผ่าน",IF(H830&gt;=90,"ผ่าน","ไม่ผ่าน"))</f>
        <v/>
      </c>
      <c r="L830" s="8">
        <f>IF(K830="ผ่าน",1,0)</f>
        <v/>
      </c>
      <c r="N830" s="7" t="n"/>
    </row>
    <row r="831">
      <c r="F831" s="7" t="n"/>
      <c r="G831" s="7" t="n"/>
      <c r="H831" s="8">
        <f>IF(OR(F831="",G831=""),"",MAX(0,ROUND((G831-F831)*1440,0)))</f>
        <v/>
      </c>
      <c r="I831" s="8">
        <f>IF(F831="","ไม่ครบ","ครบ")</f>
        <v/>
      </c>
      <c r="J831" s="8">
        <f>IF(G831="","ไม่ครบ","ครบ")</f>
        <v/>
      </c>
      <c r="K831" s="8">
        <f>IF(OR(F831="",G831=""),"ไม่ผ่าน",IF(H831&gt;=90,"ผ่าน","ไม่ผ่าน"))</f>
        <v/>
      </c>
      <c r="L831" s="8">
        <f>IF(K831="ผ่าน",1,0)</f>
        <v/>
      </c>
      <c r="N831" s="7" t="n"/>
    </row>
    <row r="832">
      <c r="F832" s="7" t="n"/>
      <c r="G832" s="7" t="n"/>
      <c r="H832" s="8">
        <f>IF(OR(F832="",G832=""),"",MAX(0,ROUND((G832-F832)*1440,0)))</f>
        <v/>
      </c>
      <c r="I832" s="8">
        <f>IF(F832="","ไม่ครบ","ครบ")</f>
        <v/>
      </c>
      <c r="J832" s="8">
        <f>IF(G832="","ไม่ครบ","ครบ")</f>
        <v/>
      </c>
      <c r="K832" s="8">
        <f>IF(OR(F832="",G832=""),"ไม่ผ่าน",IF(H832&gt;=90,"ผ่าน","ไม่ผ่าน"))</f>
        <v/>
      </c>
      <c r="L832" s="8">
        <f>IF(K832="ผ่าน",1,0)</f>
        <v/>
      </c>
      <c r="N832" s="7" t="n"/>
    </row>
    <row r="833">
      <c r="F833" s="7" t="n"/>
      <c r="G833" s="7" t="n"/>
      <c r="H833" s="8">
        <f>IF(OR(F833="",G833=""),"",MAX(0,ROUND((G833-F833)*1440,0)))</f>
        <v/>
      </c>
      <c r="I833" s="8">
        <f>IF(F833="","ไม่ครบ","ครบ")</f>
        <v/>
      </c>
      <c r="J833" s="8">
        <f>IF(G833="","ไม่ครบ","ครบ")</f>
        <v/>
      </c>
      <c r="K833" s="8">
        <f>IF(OR(F833="",G833=""),"ไม่ผ่าน",IF(H833&gt;=90,"ผ่าน","ไม่ผ่าน"))</f>
        <v/>
      </c>
      <c r="L833" s="8">
        <f>IF(K833="ผ่าน",1,0)</f>
        <v/>
      </c>
      <c r="N833" s="7" t="n"/>
    </row>
    <row r="834">
      <c r="F834" s="7" t="n"/>
      <c r="G834" s="7" t="n"/>
      <c r="H834" s="8">
        <f>IF(OR(F834="",G834=""),"",MAX(0,ROUND((G834-F834)*1440,0)))</f>
        <v/>
      </c>
      <c r="I834" s="8">
        <f>IF(F834="","ไม่ครบ","ครบ")</f>
        <v/>
      </c>
      <c r="J834" s="8">
        <f>IF(G834="","ไม่ครบ","ครบ")</f>
        <v/>
      </c>
      <c r="K834" s="8">
        <f>IF(OR(F834="",G834=""),"ไม่ผ่าน",IF(H834&gt;=90,"ผ่าน","ไม่ผ่าน"))</f>
        <v/>
      </c>
      <c r="L834" s="8">
        <f>IF(K834="ผ่าน",1,0)</f>
        <v/>
      </c>
      <c r="N834" s="7" t="n"/>
    </row>
    <row r="835">
      <c r="F835" s="7" t="n"/>
      <c r="G835" s="7" t="n"/>
      <c r="H835" s="8">
        <f>IF(OR(F835="",G835=""),"",MAX(0,ROUND((G835-F835)*1440,0)))</f>
        <v/>
      </c>
      <c r="I835" s="8">
        <f>IF(F835="","ไม่ครบ","ครบ")</f>
        <v/>
      </c>
      <c r="J835" s="8">
        <f>IF(G835="","ไม่ครบ","ครบ")</f>
        <v/>
      </c>
      <c r="K835" s="8">
        <f>IF(OR(F835="",G835=""),"ไม่ผ่าน",IF(H835&gt;=90,"ผ่าน","ไม่ผ่าน"))</f>
        <v/>
      </c>
      <c r="L835" s="8">
        <f>IF(K835="ผ่าน",1,0)</f>
        <v/>
      </c>
      <c r="N835" s="7" t="n"/>
    </row>
    <row r="836">
      <c r="F836" s="7" t="n"/>
      <c r="G836" s="7" t="n"/>
      <c r="H836" s="8">
        <f>IF(OR(F836="",G836=""),"",MAX(0,ROUND((G836-F836)*1440,0)))</f>
        <v/>
      </c>
      <c r="I836" s="8">
        <f>IF(F836="","ไม่ครบ","ครบ")</f>
        <v/>
      </c>
      <c r="J836" s="8">
        <f>IF(G836="","ไม่ครบ","ครบ")</f>
        <v/>
      </c>
      <c r="K836" s="8">
        <f>IF(OR(F836="",G836=""),"ไม่ผ่าน",IF(H836&gt;=90,"ผ่าน","ไม่ผ่าน"))</f>
        <v/>
      </c>
      <c r="L836" s="8">
        <f>IF(K836="ผ่าน",1,0)</f>
        <v/>
      </c>
      <c r="N836" s="7" t="n"/>
    </row>
    <row r="837">
      <c r="F837" s="7" t="n"/>
      <c r="G837" s="7" t="n"/>
      <c r="H837" s="8">
        <f>IF(OR(F837="",G837=""),"",MAX(0,ROUND((G837-F837)*1440,0)))</f>
        <v/>
      </c>
      <c r="I837" s="8">
        <f>IF(F837="","ไม่ครบ","ครบ")</f>
        <v/>
      </c>
      <c r="J837" s="8">
        <f>IF(G837="","ไม่ครบ","ครบ")</f>
        <v/>
      </c>
      <c r="K837" s="8">
        <f>IF(OR(F837="",G837=""),"ไม่ผ่าน",IF(H837&gt;=90,"ผ่าน","ไม่ผ่าน"))</f>
        <v/>
      </c>
      <c r="L837" s="8">
        <f>IF(K837="ผ่าน",1,0)</f>
        <v/>
      </c>
      <c r="N837" s="7" t="n"/>
    </row>
    <row r="838">
      <c r="F838" s="7" t="n"/>
      <c r="G838" s="7" t="n"/>
      <c r="H838" s="8">
        <f>IF(OR(F838="",G838=""),"",MAX(0,ROUND((G838-F838)*1440,0)))</f>
        <v/>
      </c>
      <c r="I838" s="8">
        <f>IF(F838="","ไม่ครบ","ครบ")</f>
        <v/>
      </c>
      <c r="J838" s="8">
        <f>IF(G838="","ไม่ครบ","ครบ")</f>
        <v/>
      </c>
      <c r="K838" s="8">
        <f>IF(OR(F838="",G838=""),"ไม่ผ่าน",IF(H838&gt;=90,"ผ่าน","ไม่ผ่าน"))</f>
        <v/>
      </c>
      <c r="L838" s="8">
        <f>IF(K838="ผ่าน",1,0)</f>
        <v/>
      </c>
      <c r="N838" s="7" t="n"/>
    </row>
    <row r="839">
      <c r="F839" s="7" t="n"/>
      <c r="G839" s="7" t="n"/>
      <c r="H839" s="8">
        <f>IF(OR(F839="",G839=""),"",MAX(0,ROUND((G839-F839)*1440,0)))</f>
        <v/>
      </c>
      <c r="I839" s="8">
        <f>IF(F839="","ไม่ครบ","ครบ")</f>
        <v/>
      </c>
      <c r="J839" s="8">
        <f>IF(G839="","ไม่ครบ","ครบ")</f>
        <v/>
      </c>
      <c r="K839" s="8">
        <f>IF(OR(F839="",G839=""),"ไม่ผ่าน",IF(H839&gt;=90,"ผ่าน","ไม่ผ่าน"))</f>
        <v/>
      </c>
      <c r="L839" s="8">
        <f>IF(K839="ผ่าน",1,0)</f>
        <v/>
      </c>
      <c r="N839" s="7" t="n"/>
    </row>
    <row r="840">
      <c r="F840" s="7" t="n"/>
      <c r="G840" s="7" t="n"/>
      <c r="H840" s="8">
        <f>IF(OR(F840="",G840=""),"",MAX(0,ROUND((G840-F840)*1440,0)))</f>
        <v/>
      </c>
      <c r="I840" s="8">
        <f>IF(F840="","ไม่ครบ","ครบ")</f>
        <v/>
      </c>
      <c r="J840" s="8">
        <f>IF(G840="","ไม่ครบ","ครบ")</f>
        <v/>
      </c>
      <c r="K840" s="8">
        <f>IF(OR(F840="",G840=""),"ไม่ผ่าน",IF(H840&gt;=90,"ผ่าน","ไม่ผ่าน"))</f>
        <v/>
      </c>
      <c r="L840" s="8">
        <f>IF(K840="ผ่าน",1,0)</f>
        <v/>
      </c>
      <c r="N840" s="7" t="n"/>
    </row>
    <row r="841">
      <c r="F841" s="7" t="n"/>
      <c r="G841" s="7" t="n"/>
      <c r="H841" s="8">
        <f>IF(OR(F841="",G841=""),"",MAX(0,ROUND((G841-F841)*1440,0)))</f>
        <v/>
      </c>
      <c r="I841" s="8">
        <f>IF(F841="","ไม่ครบ","ครบ")</f>
        <v/>
      </c>
      <c r="J841" s="8">
        <f>IF(G841="","ไม่ครบ","ครบ")</f>
        <v/>
      </c>
      <c r="K841" s="8">
        <f>IF(OR(F841="",G841=""),"ไม่ผ่าน",IF(H841&gt;=90,"ผ่าน","ไม่ผ่าน"))</f>
        <v/>
      </c>
      <c r="L841" s="8">
        <f>IF(K841="ผ่าน",1,0)</f>
        <v/>
      </c>
      <c r="N841" s="7" t="n"/>
    </row>
    <row r="842">
      <c r="F842" s="7" t="n"/>
      <c r="G842" s="7" t="n"/>
      <c r="H842" s="8">
        <f>IF(OR(F842="",G842=""),"",MAX(0,ROUND((G842-F842)*1440,0)))</f>
        <v/>
      </c>
      <c r="I842" s="8">
        <f>IF(F842="","ไม่ครบ","ครบ")</f>
        <v/>
      </c>
      <c r="J842" s="8">
        <f>IF(G842="","ไม่ครบ","ครบ")</f>
        <v/>
      </c>
      <c r="K842" s="8">
        <f>IF(OR(F842="",G842=""),"ไม่ผ่าน",IF(H842&gt;=90,"ผ่าน","ไม่ผ่าน"))</f>
        <v/>
      </c>
      <c r="L842" s="8">
        <f>IF(K842="ผ่าน",1,0)</f>
        <v/>
      </c>
      <c r="N842" s="7" t="n"/>
    </row>
    <row r="843">
      <c r="F843" s="7" t="n"/>
      <c r="G843" s="7" t="n"/>
      <c r="H843" s="8">
        <f>IF(OR(F843="",G843=""),"",MAX(0,ROUND((G843-F843)*1440,0)))</f>
        <v/>
      </c>
      <c r="I843" s="8">
        <f>IF(F843="","ไม่ครบ","ครบ")</f>
        <v/>
      </c>
      <c r="J843" s="8">
        <f>IF(G843="","ไม่ครบ","ครบ")</f>
        <v/>
      </c>
      <c r="K843" s="8">
        <f>IF(OR(F843="",G843=""),"ไม่ผ่าน",IF(H843&gt;=90,"ผ่าน","ไม่ผ่าน"))</f>
        <v/>
      </c>
      <c r="L843" s="8">
        <f>IF(K843="ผ่าน",1,0)</f>
        <v/>
      </c>
      <c r="N843" s="7" t="n"/>
    </row>
    <row r="844">
      <c r="F844" s="7" t="n"/>
      <c r="G844" s="7" t="n"/>
      <c r="H844" s="8">
        <f>IF(OR(F844="",G844=""),"",MAX(0,ROUND((G844-F844)*1440,0)))</f>
        <v/>
      </c>
      <c r="I844" s="8">
        <f>IF(F844="","ไม่ครบ","ครบ")</f>
        <v/>
      </c>
      <c r="J844" s="8">
        <f>IF(G844="","ไม่ครบ","ครบ")</f>
        <v/>
      </c>
      <c r="K844" s="8">
        <f>IF(OR(F844="",G844=""),"ไม่ผ่าน",IF(H844&gt;=90,"ผ่าน","ไม่ผ่าน"))</f>
        <v/>
      </c>
      <c r="L844" s="8">
        <f>IF(K844="ผ่าน",1,0)</f>
        <v/>
      </c>
      <c r="N844" s="7" t="n"/>
    </row>
    <row r="845">
      <c r="F845" s="7" t="n"/>
      <c r="G845" s="7" t="n"/>
      <c r="H845" s="8">
        <f>IF(OR(F845="",G845=""),"",MAX(0,ROUND((G845-F845)*1440,0)))</f>
        <v/>
      </c>
      <c r="I845" s="8">
        <f>IF(F845="","ไม่ครบ","ครบ")</f>
        <v/>
      </c>
      <c r="J845" s="8">
        <f>IF(G845="","ไม่ครบ","ครบ")</f>
        <v/>
      </c>
      <c r="K845" s="8">
        <f>IF(OR(F845="",G845=""),"ไม่ผ่าน",IF(H845&gt;=90,"ผ่าน","ไม่ผ่าน"))</f>
        <v/>
      </c>
      <c r="L845" s="8">
        <f>IF(K845="ผ่าน",1,0)</f>
        <v/>
      </c>
      <c r="N845" s="7" t="n"/>
    </row>
    <row r="846">
      <c r="F846" s="7" t="n"/>
      <c r="G846" s="7" t="n"/>
      <c r="H846" s="8">
        <f>IF(OR(F846="",G846=""),"",MAX(0,ROUND((G846-F846)*1440,0)))</f>
        <v/>
      </c>
      <c r="I846" s="8">
        <f>IF(F846="","ไม่ครบ","ครบ")</f>
        <v/>
      </c>
      <c r="J846" s="8">
        <f>IF(G846="","ไม่ครบ","ครบ")</f>
        <v/>
      </c>
      <c r="K846" s="8">
        <f>IF(OR(F846="",G846=""),"ไม่ผ่าน",IF(H846&gt;=90,"ผ่าน","ไม่ผ่าน"))</f>
        <v/>
      </c>
      <c r="L846" s="8">
        <f>IF(K846="ผ่าน",1,0)</f>
        <v/>
      </c>
      <c r="N846" s="7" t="n"/>
    </row>
    <row r="847">
      <c r="F847" s="7" t="n"/>
      <c r="G847" s="7" t="n"/>
      <c r="H847" s="8">
        <f>IF(OR(F847="",G847=""),"",MAX(0,ROUND((G847-F847)*1440,0)))</f>
        <v/>
      </c>
      <c r="I847" s="8">
        <f>IF(F847="","ไม่ครบ","ครบ")</f>
        <v/>
      </c>
      <c r="J847" s="8">
        <f>IF(G847="","ไม่ครบ","ครบ")</f>
        <v/>
      </c>
      <c r="K847" s="8">
        <f>IF(OR(F847="",G847=""),"ไม่ผ่าน",IF(H847&gt;=90,"ผ่าน","ไม่ผ่าน"))</f>
        <v/>
      </c>
      <c r="L847" s="8">
        <f>IF(K847="ผ่าน",1,0)</f>
        <v/>
      </c>
      <c r="N847" s="7" t="n"/>
    </row>
    <row r="848">
      <c r="F848" s="7" t="n"/>
      <c r="G848" s="7" t="n"/>
      <c r="H848" s="8">
        <f>IF(OR(F848="",G848=""),"",MAX(0,ROUND((G848-F848)*1440,0)))</f>
        <v/>
      </c>
      <c r="I848" s="8">
        <f>IF(F848="","ไม่ครบ","ครบ")</f>
        <v/>
      </c>
      <c r="J848" s="8">
        <f>IF(G848="","ไม่ครบ","ครบ")</f>
        <v/>
      </c>
      <c r="K848" s="8">
        <f>IF(OR(F848="",G848=""),"ไม่ผ่าน",IF(H848&gt;=90,"ผ่าน","ไม่ผ่าน"))</f>
        <v/>
      </c>
      <c r="L848" s="8">
        <f>IF(K848="ผ่าน",1,0)</f>
        <v/>
      </c>
      <c r="N848" s="7" t="n"/>
    </row>
    <row r="849">
      <c r="F849" s="7" t="n"/>
      <c r="G849" s="7" t="n"/>
      <c r="H849" s="8">
        <f>IF(OR(F849="",G849=""),"",MAX(0,ROUND((G849-F849)*1440,0)))</f>
        <v/>
      </c>
      <c r="I849" s="8">
        <f>IF(F849="","ไม่ครบ","ครบ")</f>
        <v/>
      </c>
      <c r="J849" s="8">
        <f>IF(G849="","ไม่ครบ","ครบ")</f>
        <v/>
      </c>
      <c r="K849" s="8">
        <f>IF(OR(F849="",G849=""),"ไม่ผ่าน",IF(H849&gt;=90,"ผ่าน","ไม่ผ่าน"))</f>
        <v/>
      </c>
      <c r="L849" s="8">
        <f>IF(K849="ผ่าน",1,0)</f>
        <v/>
      </c>
      <c r="N849" s="7" t="n"/>
    </row>
    <row r="850">
      <c r="F850" s="7" t="n"/>
      <c r="G850" s="7" t="n"/>
      <c r="H850" s="8">
        <f>IF(OR(F850="",G850=""),"",MAX(0,ROUND((G850-F850)*1440,0)))</f>
        <v/>
      </c>
      <c r="I850" s="8">
        <f>IF(F850="","ไม่ครบ","ครบ")</f>
        <v/>
      </c>
      <c r="J850" s="8">
        <f>IF(G850="","ไม่ครบ","ครบ")</f>
        <v/>
      </c>
      <c r="K850" s="8">
        <f>IF(OR(F850="",G850=""),"ไม่ผ่าน",IF(H850&gt;=90,"ผ่าน","ไม่ผ่าน"))</f>
        <v/>
      </c>
      <c r="L850" s="8">
        <f>IF(K850="ผ่าน",1,0)</f>
        <v/>
      </c>
      <c r="N850" s="7" t="n"/>
    </row>
    <row r="851">
      <c r="F851" s="7" t="n"/>
      <c r="G851" s="7" t="n"/>
      <c r="H851" s="8">
        <f>IF(OR(F851="",G851=""),"",MAX(0,ROUND((G851-F851)*1440,0)))</f>
        <v/>
      </c>
      <c r="I851" s="8">
        <f>IF(F851="","ไม่ครบ","ครบ")</f>
        <v/>
      </c>
      <c r="J851" s="8">
        <f>IF(G851="","ไม่ครบ","ครบ")</f>
        <v/>
      </c>
      <c r="K851" s="8">
        <f>IF(OR(F851="",G851=""),"ไม่ผ่าน",IF(H851&gt;=90,"ผ่าน","ไม่ผ่าน"))</f>
        <v/>
      </c>
      <c r="L851" s="8">
        <f>IF(K851="ผ่าน",1,0)</f>
        <v/>
      </c>
      <c r="N851" s="7" t="n"/>
    </row>
    <row r="852">
      <c r="F852" s="7" t="n"/>
      <c r="G852" s="7" t="n"/>
      <c r="H852" s="8">
        <f>IF(OR(F852="",G852=""),"",MAX(0,ROUND((G852-F852)*1440,0)))</f>
        <v/>
      </c>
      <c r="I852" s="8">
        <f>IF(F852="","ไม่ครบ","ครบ")</f>
        <v/>
      </c>
      <c r="J852" s="8">
        <f>IF(G852="","ไม่ครบ","ครบ")</f>
        <v/>
      </c>
      <c r="K852" s="8">
        <f>IF(OR(F852="",G852=""),"ไม่ผ่าน",IF(H852&gt;=90,"ผ่าน","ไม่ผ่าน"))</f>
        <v/>
      </c>
      <c r="L852" s="8">
        <f>IF(K852="ผ่าน",1,0)</f>
        <v/>
      </c>
      <c r="N852" s="7" t="n"/>
    </row>
    <row r="853">
      <c r="F853" s="7" t="n"/>
      <c r="G853" s="7" t="n"/>
      <c r="H853" s="8">
        <f>IF(OR(F853="",G853=""),"",MAX(0,ROUND((G853-F853)*1440,0)))</f>
        <v/>
      </c>
      <c r="I853" s="8">
        <f>IF(F853="","ไม่ครบ","ครบ")</f>
        <v/>
      </c>
      <c r="J853" s="8">
        <f>IF(G853="","ไม่ครบ","ครบ")</f>
        <v/>
      </c>
      <c r="K853" s="8">
        <f>IF(OR(F853="",G853=""),"ไม่ผ่าน",IF(H853&gt;=90,"ผ่าน","ไม่ผ่าน"))</f>
        <v/>
      </c>
      <c r="L853" s="8">
        <f>IF(K853="ผ่าน",1,0)</f>
        <v/>
      </c>
      <c r="N853" s="7" t="n"/>
    </row>
    <row r="854">
      <c r="F854" s="7" t="n"/>
      <c r="G854" s="7" t="n"/>
      <c r="H854" s="8">
        <f>IF(OR(F854="",G854=""),"",MAX(0,ROUND((G854-F854)*1440,0)))</f>
        <v/>
      </c>
      <c r="I854" s="8">
        <f>IF(F854="","ไม่ครบ","ครบ")</f>
        <v/>
      </c>
      <c r="J854" s="8">
        <f>IF(G854="","ไม่ครบ","ครบ")</f>
        <v/>
      </c>
      <c r="K854" s="8">
        <f>IF(OR(F854="",G854=""),"ไม่ผ่าน",IF(H854&gt;=90,"ผ่าน","ไม่ผ่าน"))</f>
        <v/>
      </c>
      <c r="L854" s="8">
        <f>IF(K854="ผ่าน",1,0)</f>
        <v/>
      </c>
      <c r="N854" s="7" t="n"/>
    </row>
    <row r="855">
      <c r="F855" s="7" t="n"/>
      <c r="G855" s="7" t="n"/>
      <c r="H855" s="8">
        <f>IF(OR(F855="",G855=""),"",MAX(0,ROUND((G855-F855)*1440,0)))</f>
        <v/>
      </c>
      <c r="I855" s="8">
        <f>IF(F855="","ไม่ครบ","ครบ")</f>
        <v/>
      </c>
      <c r="J855" s="8">
        <f>IF(G855="","ไม่ครบ","ครบ")</f>
        <v/>
      </c>
      <c r="K855" s="8">
        <f>IF(OR(F855="",G855=""),"ไม่ผ่าน",IF(H855&gt;=90,"ผ่าน","ไม่ผ่าน"))</f>
        <v/>
      </c>
      <c r="L855" s="8">
        <f>IF(K855="ผ่าน",1,0)</f>
        <v/>
      </c>
      <c r="N855" s="7" t="n"/>
    </row>
    <row r="856">
      <c r="F856" s="7" t="n"/>
      <c r="G856" s="7" t="n"/>
      <c r="H856" s="8">
        <f>IF(OR(F856="",G856=""),"",MAX(0,ROUND((G856-F856)*1440,0)))</f>
        <v/>
      </c>
      <c r="I856" s="8">
        <f>IF(F856="","ไม่ครบ","ครบ")</f>
        <v/>
      </c>
      <c r="J856" s="8">
        <f>IF(G856="","ไม่ครบ","ครบ")</f>
        <v/>
      </c>
      <c r="K856" s="8">
        <f>IF(OR(F856="",G856=""),"ไม่ผ่าน",IF(H856&gt;=90,"ผ่าน","ไม่ผ่าน"))</f>
        <v/>
      </c>
      <c r="L856" s="8">
        <f>IF(K856="ผ่าน",1,0)</f>
        <v/>
      </c>
      <c r="N856" s="7" t="n"/>
    </row>
    <row r="857">
      <c r="F857" s="7" t="n"/>
      <c r="G857" s="7" t="n"/>
      <c r="H857" s="8">
        <f>IF(OR(F857="",G857=""),"",MAX(0,ROUND((G857-F857)*1440,0)))</f>
        <v/>
      </c>
      <c r="I857" s="8">
        <f>IF(F857="","ไม่ครบ","ครบ")</f>
        <v/>
      </c>
      <c r="J857" s="8">
        <f>IF(G857="","ไม่ครบ","ครบ")</f>
        <v/>
      </c>
      <c r="K857" s="8">
        <f>IF(OR(F857="",G857=""),"ไม่ผ่าน",IF(H857&gt;=90,"ผ่าน","ไม่ผ่าน"))</f>
        <v/>
      </c>
      <c r="L857" s="8">
        <f>IF(K857="ผ่าน",1,0)</f>
        <v/>
      </c>
      <c r="N857" s="7" t="n"/>
    </row>
    <row r="858">
      <c r="F858" s="7" t="n"/>
      <c r="G858" s="7" t="n"/>
      <c r="H858" s="8">
        <f>IF(OR(F858="",G858=""),"",MAX(0,ROUND((G858-F858)*1440,0)))</f>
        <v/>
      </c>
      <c r="I858" s="8">
        <f>IF(F858="","ไม่ครบ","ครบ")</f>
        <v/>
      </c>
      <c r="J858" s="8">
        <f>IF(G858="","ไม่ครบ","ครบ")</f>
        <v/>
      </c>
      <c r="K858" s="8">
        <f>IF(OR(F858="",G858=""),"ไม่ผ่าน",IF(H858&gt;=90,"ผ่าน","ไม่ผ่าน"))</f>
        <v/>
      </c>
      <c r="L858" s="8">
        <f>IF(K858="ผ่าน",1,0)</f>
        <v/>
      </c>
      <c r="N858" s="7" t="n"/>
    </row>
    <row r="859">
      <c r="F859" s="7" t="n"/>
      <c r="G859" s="7" t="n"/>
      <c r="H859" s="8">
        <f>IF(OR(F859="",G859=""),"",MAX(0,ROUND((G859-F859)*1440,0)))</f>
        <v/>
      </c>
      <c r="I859" s="8">
        <f>IF(F859="","ไม่ครบ","ครบ")</f>
        <v/>
      </c>
      <c r="J859" s="8">
        <f>IF(G859="","ไม่ครบ","ครบ")</f>
        <v/>
      </c>
      <c r="K859" s="8">
        <f>IF(OR(F859="",G859=""),"ไม่ผ่าน",IF(H859&gt;=90,"ผ่าน","ไม่ผ่าน"))</f>
        <v/>
      </c>
      <c r="L859" s="8">
        <f>IF(K859="ผ่าน",1,0)</f>
        <v/>
      </c>
      <c r="N859" s="7" t="n"/>
    </row>
    <row r="860">
      <c r="F860" s="7" t="n"/>
      <c r="G860" s="7" t="n"/>
      <c r="H860" s="8">
        <f>IF(OR(F860="",G860=""),"",MAX(0,ROUND((G860-F860)*1440,0)))</f>
        <v/>
      </c>
      <c r="I860" s="8">
        <f>IF(F860="","ไม่ครบ","ครบ")</f>
        <v/>
      </c>
      <c r="J860" s="8">
        <f>IF(G860="","ไม่ครบ","ครบ")</f>
        <v/>
      </c>
      <c r="K860" s="8">
        <f>IF(OR(F860="",G860=""),"ไม่ผ่าน",IF(H860&gt;=90,"ผ่าน","ไม่ผ่าน"))</f>
        <v/>
      </c>
      <c r="L860" s="8">
        <f>IF(K860="ผ่าน",1,0)</f>
        <v/>
      </c>
      <c r="N860" s="7" t="n"/>
    </row>
    <row r="861">
      <c r="F861" s="7" t="n"/>
      <c r="G861" s="7" t="n"/>
      <c r="H861" s="8">
        <f>IF(OR(F861="",G861=""),"",MAX(0,ROUND((G861-F861)*1440,0)))</f>
        <v/>
      </c>
      <c r="I861" s="8">
        <f>IF(F861="","ไม่ครบ","ครบ")</f>
        <v/>
      </c>
      <c r="J861" s="8">
        <f>IF(G861="","ไม่ครบ","ครบ")</f>
        <v/>
      </c>
      <c r="K861" s="8">
        <f>IF(OR(F861="",G861=""),"ไม่ผ่าน",IF(H861&gt;=90,"ผ่าน","ไม่ผ่าน"))</f>
        <v/>
      </c>
      <c r="L861" s="8">
        <f>IF(K861="ผ่าน",1,0)</f>
        <v/>
      </c>
      <c r="N861" s="7" t="n"/>
    </row>
    <row r="862">
      <c r="F862" s="7" t="n"/>
      <c r="G862" s="7" t="n"/>
      <c r="H862" s="8">
        <f>IF(OR(F862="",G862=""),"",MAX(0,ROUND((G862-F862)*1440,0)))</f>
        <v/>
      </c>
      <c r="I862" s="8">
        <f>IF(F862="","ไม่ครบ","ครบ")</f>
        <v/>
      </c>
      <c r="J862" s="8">
        <f>IF(G862="","ไม่ครบ","ครบ")</f>
        <v/>
      </c>
      <c r="K862" s="8">
        <f>IF(OR(F862="",G862=""),"ไม่ผ่าน",IF(H862&gt;=90,"ผ่าน","ไม่ผ่าน"))</f>
        <v/>
      </c>
      <c r="L862" s="8">
        <f>IF(K862="ผ่าน",1,0)</f>
        <v/>
      </c>
      <c r="N862" s="7" t="n"/>
    </row>
    <row r="863">
      <c r="F863" s="7" t="n"/>
      <c r="G863" s="7" t="n"/>
      <c r="H863" s="8">
        <f>IF(OR(F863="",G863=""),"",MAX(0,ROUND((G863-F863)*1440,0)))</f>
        <v/>
      </c>
      <c r="I863" s="8">
        <f>IF(F863="","ไม่ครบ","ครบ")</f>
        <v/>
      </c>
      <c r="J863" s="8">
        <f>IF(G863="","ไม่ครบ","ครบ")</f>
        <v/>
      </c>
      <c r="K863" s="8">
        <f>IF(OR(F863="",G863=""),"ไม่ผ่าน",IF(H863&gt;=90,"ผ่าน","ไม่ผ่าน"))</f>
        <v/>
      </c>
      <c r="L863" s="8">
        <f>IF(K863="ผ่าน",1,0)</f>
        <v/>
      </c>
      <c r="N863" s="7" t="n"/>
    </row>
    <row r="864">
      <c r="F864" s="7" t="n"/>
      <c r="G864" s="7" t="n"/>
      <c r="H864" s="8">
        <f>IF(OR(F864="",G864=""),"",MAX(0,ROUND((G864-F864)*1440,0)))</f>
        <v/>
      </c>
      <c r="I864" s="8">
        <f>IF(F864="","ไม่ครบ","ครบ")</f>
        <v/>
      </c>
      <c r="J864" s="8">
        <f>IF(G864="","ไม่ครบ","ครบ")</f>
        <v/>
      </c>
      <c r="K864" s="8">
        <f>IF(OR(F864="",G864=""),"ไม่ผ่าน",IF(H864&gt;=90,"ผ่าน","ไม่ผ่าน"))</f>
        <v/>
      </c>
      <c r="L864" s="8">
        <f>IF(K864="ผ่าน",1,0)</f>
        <v/>
      </c>
      <c r="N864" s="7" t="n"/>
    </row>
    <row r="865">
      <c r="F865" s="7" t="n"/>
      <c r="G865" s="7" t="n"/>
      <c r="H865" s="8">
        <f>IF(OR(F865="",G865=""),"",MAX(0,ROUND((G865-F865)*1440,0)))</f>
        <v/>
      </c>
      <c r="I865" s="8">
        <f>IF(F865="","ไม่ครบ","ครบ")</f>
        <v/>
      </c>
      <c r="J865" s="8">
        <f>IF(G865="","ไม่ครบ","ครบ")</f>
        <v/>
      </c>
      <c r="K865" s="8">
        <f>IF(OR(F865="",G865=""),"ไม่ผ่าน",IF(H865&gt;=90,"ผ่าน","ไม่ผ่าน"))</f>
        <v/>
      </c>
      <c r="L865" s="8">
        <f>IF(K865="ผ่าน",1,0)</f>
        <v/>
      </c>
      <c r="N865" s="7" t="n"/>
    </row>
    <row r="866">
      <c r="F866" s="7" t="n"/>
      <c r="G866" s="7" t="n"/>
      <c r="H866" s="8">
        <f>IF(OR(F866="",G866=""),"",MAX(0,ROUND((G866-F866)*1440,0)))</f>
        <v/>
      </c>
      <c r="I866" s="8">
        <f>IF(F866="","ไม่ครบ","ครบ")</f>
        <v/>
      </c>
      <c r="J866" s="8">
        <f>IF(G866="","ไม่ครบ","ครบ")</f>
        <v/>
      </c>
      <c r="K866" s="8">
        <f>IF(OR(F866="",G866=""),"ไม่ผ่าน",IF(H866&gt;=90,"ผ่าน","ไม่ผ่าน"))</f>
        <v/>
      </c>
      <c r="L866" s="8">
        <f>IF(K866="ผ่าน",1,0)</f>
        <v/>
      </c>
      <c r="N866" s="7" t="n"/>
    </row>
    <row r="867">
      <c r="F867" s="7" t="n"/>
      <c r="G867" s="7" t="n"/>
      <c r="H867" s="8">
        <f>IF(OR(F867="",G867=""),"",MAX(0,ROUND((G867-F867)*1440,0)))</f>
        <v/>
      </c>
      <c r="I867" s="8">
        <f>IF(F867="","ไม่ครบ","ครบ")</f>
        <v/>
      </c>
      <c r="J867" s="8">
        <f>IF(G867="","ไม่ครบ","ครบ")</f>
        <v/>
      </c>
      <c r="K867" s="8">
        <f>IF(OR(F867="",G867=""),"ไม่ผ่าน",IF(H867&gt;=90,"ผ่าน","ไม่ผ่าน"))</f>
        <v/>
      </c>
      <c r="L867" s="8">
        <f>IF(K867="ผ่าน",1,0)</f>
        <v/>
      </c>
      <c r="N867" s="7" t="n"/>
    </row>
    <row r="868">
      <c r="F868" s="7" t="n"/>
      <c r="G868" s="7" t="n"/>
      <c r="H868" s="8">
        <f>IF(OR(F868="",G868=""),"",MAX(0,ROUND((G868-F868)*1440,0)))</f>
        <v/>
      </c>
      <c r="I868" s="8">
        <f>IF(F868="","ไม่ครบ","ครบ")</f>
        <v/>
      </c>
      <c r="J868" s="8">
        <f>IF(G868="","ไม่ครบ","ครบ")</f>
        <v/>
      </c>
      <c r="K868" s="8">
        <f>IF(OR(F868="",G868=""),"ไม่ผ่าน",IF(H868&gt;=90,"ผ่าน","ไม่ผ่าน"))</f>
        <v/>
      </c>
      <c r="L868" s="8">
        <f>IF(K868="ผ่าน",1,0)</f>
        <v/>
      </c>
      <c r="N868" s="7" t="n"/>
    </row>
    <row r="869">
      <c r="F869" s="7" t="n"/>
      <c r="G869" s="7" t="n"/>
      <c r="H869" s="8">
        <f>IF(OR(F869="",G869=""),"",MAX(0,ROUND((G869-F869)*1440,0)))</f>
        <v/>
      </c>
      <c r="I869" s="8">
        <f>IF(F869="","ไม่ครบ","ครบ")</f>
        <v/>
      </c>
      <c r="J869" s="8">
        <f>IF(G869="","ไม่ครบ","ครบ")</f>
        <v/>
      </c>
      <c r="K869" s="8">
        <f>IF(OR(F869="",G869=""),"ไม่ผ่าน",IF(H869&gt;=90,"ผ่าน","ไม่ผ่าน"))</f>
        <v/>
      </c>
      <c r="L869" s="8">
        <f>IF(K869="ผ่าน",1,0)</f>
        <v/>
      </c>
      <c r="N869" s="7" t="n"/>
    </row>
    <row r="870">
      <c r="F870" s="7" t="n"/>
      <c r="G870" s="7" t="n"/>
      <c r="H870" s="8">
        <f>IF(OR(F870="",G870=""),"",MAX(0,ROUND((G870-F870)*1440,0)))</f>
        <v/>
      </c>
      <c r="I870" s="8">
        <f>IF(F870="","ไม่ครบ","ครบ")</f>
        <v/>
      </c>
      <c r="J870" s="8">
        <f>IF(G870="","ไม่ครบ","ครบ")</f>
        <v/>
      </c>
      <c r="K870" s="8">
        <f>IF(OR(F870="",G870=""),"ไม่ผ่าน",IF(H870&gt;=90,"ผ่าน","ไม่ผ่าน"))</f>
        <v/>
      </c>
      <c r="L870" s="8">
        <f>IF(K870="ผ่าน",1,0)</f>
        <v/>
      </c>
      <c r="N870" s="7" t="n"/>
    </row>
    <row r="871">
      <c r="F871" s="7" t="n"/>
      <c r="G871" s="7" t="n"/>
      <c r="H871" s="8">
        <f>IF(OR(F871="",G871=""),"",MAX(0,ROUND((G871-F871)*1440,0)))</f>
        <v/>
      </c>
      <c r="I871" s="8">
        <f>IF(F871="","ไม่ครบ","ครบ")</f>
        <v/>
      </c>
      <c r="J871" s="8">
        <f>IF(G871="","ไม่ครบ","ครบ")</f>
        <v/>
      </c>
      <c r="K871" s="8">
        <f>IF(OR(F871="",G871=""),"ไม่ผ่าน",IF(H871&gt;=90,"ผ่าน","ไม่ผ่าน"))</f>
        <v/>
      </c>
      <c r="L871" s="8">
        <f>IF(K871="ผ่าน",1,0)</f>
        <v/>
      </c>
      <c r="N871" s="7" t="n"/>
    </row>
    <row r="872">
      <c r="F872" s="7" t="n"/>
      <c r="G872" s="7" t="n"/>
      <c r="H872" s="8">
        <f>IF(OR(F872="",G872=""),"",MAX(0,ROUND((G872-F872)*1440,0)))</f>
        <v/>
      </c>
      <c r="I872" s="8">
        <f>IF(F872="","ไม่ครบ","ครบ")</f>
        <v/>
      </c>
      <c r="J872" s="8">
        <f>IF(G872="","ไม่ครบ","ครบ")</f>
        <v/>
      </c>
      <c r="K872" s="8">
        <f>IF(OR(F872="",G872=""),"ไม่ผ่าน",IF(H872&gt;=90,"ผ่าน","ไม่ผ่าน"))</f>
        <v/>
      </c>
      <c r="L872" s="8">
        <f>IF(K872="ผ่าน",1,0)</f>
        <v/>
      </c>
      <c r="N872" s="7" t="n"/>
    </row>
    <row r="873">
      <c r="F873" s="7" t="n"/>
      <c r="G873" s="7" t="n"/>
      <c r="H873" s="8">
        <f>IF(OR(F873="",G873=""),"",MAX(0,ROUND((G873-F873)*1440,0)))</f>
        <v/>
      </c>
      <c r="I873" s="8">
        <f>IF(F873="","ไม่ครบ","ครบ")</f>
        <v/>
      </c>
      <c r="J873" s="8">
        <f>IF(G873="","ไม่ครบ","ครบ")</f>
        <v/>
      </c>
      <c r="K873" s="8">
        <f>IF(OR(F873="",G873=""),"ไม่ผ่าน",IF(H873&gt;=90,"ผ่าน","ไม่ผ่าน"))</f>
        <v/>
      </c>
      <c r="L873" s="8">
        <f>IF(K873="ผ่าน",1,0)</f>
        <v/>
      </c>
      <c r="N873" s="7" t="n"/>
    </row>
    <row r="874">
      <c r="F874" s="7" t="n"/>
      <c r="G874" s="7" t="n"/>
      <c r="H874" s="8">
        <f>IF(OR(F874="",G874=""),"",MAX(0,ROUND((G874-F874)*1440,0)))</f>
        <v/>
      </c>
      <c r="I874" s="8">
        <f>IF(F874="","ไม่ครบ","ครบ")</f>
        <v/>
      </c>
      <c r="J874" s="8">
        <f>IF(G874="","ไม่ครบ","ครบ")</f>
        <v/>
      </c>
      <c r="K874" s="8">
        <f>IF(OR(F874="",G874=""),"ไม่ผ่าน",IF(H874&gt;=90,"ผ่าน","ไม่ผ่าน"))</f>
        <v/>
      </c>
      <c r="L874" s="8">
        <f>IF(K874="ผ่าน",1,0)</f>
        <v/>
      </c>
      <c r="N874" s="7" t="n"/>
    </row>
    <row r="875">
      <c r="F875" s="7" t="n"/>
      <c r="G875" s="7" t="n"/>
      <c r="H875" s="8">
        <f>IF(OR(F875="",G875=""),"",MAX(0,ROUND((G875-F875)*1440,0)))</f>
        <v/>
      </c>
      <c r="I875" s="8">
        <f>IF(F875="","ไม่ครบ","ครบ")</f>
        <v/>
      </c>
      <c r="J875" s="8">
        <f>IF(G875="","ไม่ครบ","ครบ")</f>
        <v/>
      </c>
      <c r="K875" s="8">
        <f>IF(OR(F875="",G875=""),"ไม่ผ่าน",IF(H875&gt;=90,"ผ่าน","ไม่ผ่าน"))</f>
        <v/>
      </c>
      <c r="L875" s="8">
        <f>IF(K875="ผ่าน",1,0)</f>
        <v/>
      </c>
      <c r="N875" s="7" t="n"/>
    </row>
    <row r="876">
      <c r="F876" s="7" t="n"/>
      <c r="G876" s="7" t="n"/>
      <c r="H876" s="8">
        <f>IF(OR(F876="",G876=""),"",MAX(0,ROUND((G876-F876)*1440,0)))</f>
        <v/>
      </c>
      <c r="I876" s="8">
        <f>IF(F876="","ไม่ครบ","ครบ")</f>
        <v/>
      </c>
      <c r="J876" s="8">
        <f>IF(G876="","ไม่ครบ","ครบ")</f>
        <v/>
      </c>
      <c r="K876" s="8">
        <f>IF(OR(F876="",G876=""),"ไม่ผ่าน",IF(H876&gt;=90,"ผ่าน","ไม่ผ่าน"))</f>
        <v/>
      </c>
      <c r="L876" s="8">
        <f>IF(K876="ผ่าน",1,0)</f>
        <v/>
      </c>
      <c r="N876" s="7" t="n"/>
    </row>
    <row r="877">
      <c r="F877" s="7" t="n"/>
      <c r="G877" s="7" t="n"/>
      <c r="H877" s="8">
        <f>IF(OR(F877="",G877=""),"",MAX(0,ROUND((G877-F877)*1440,0)))</f>
        <v/>
      </c>
      <c r="I877" s="8">
        <f>IF(F877="","ไม่ครบ","ครบ")</f>
        <v/>
      </c>
      <c r="J877" s="8">
        <f>IF(G877="","ไม่ครบ","ครบ")</f>
        <v/>
      </c>
      <c r="K877" s="8">
        <f>IF(OR(F877="",G877=""),"ไม่ผ่าน",IF(H877&gt;=90,"ผ่าน","ไม่ผ่าน"))</f>
        <v/>
      </c>
      <c r="L877" s="8">
        <f>IF(K877="ผ่าน",1,0)</f>
        <v/>
      </c>
      <c r="N877" s="7" t="n"/>
    </row>
    <row r="878">
      <c r="F878" s="7" t="n"/>
      <c r="G878" s="7" t="n"/>
      <c r="H878" s="8">
        <f>IF(OR(F878="",G878=""),"",MAX(0,ROUND((G878-F878)*1440,0)))</f>
        <v/>
      </c>
      <c r="I878" s="8">
        <f>IF(F878="","ไม่ครบ","ครบ")</f>
        <v/>
      </c>
      <c r="J878" s="8">
        <f>IF(G878="","ไม่ครบ","ครบ")</f>
        <v/>
      </c>
      <c r="K878" s="8">
        <f>IF(OR(F878="",G878=""),"ไม่ผ่าน",IF(H878&gt;=90,"ผ่าน","ไม่ผ่าน"))</f>
        <v/>
      </c>
      <c r="L878" s="8">
        <f>IF(K878="ผ่าน",1,0)</f>
        <v/>
      </c>
      <c r="N878" s="7" t="n"/>
    </row>
    <row r="879">
      <c r="F879" s="7" t="n"/>
      <c r="G879" s="7" t="n"/>
      <c r="H879" s="8">
        <f>IF(OR(F879="",G879=""),"",MAX(0,ROUND((G879-F879)*1440,0)))</f>
        <v/>
      </c>
      <c r="I879" s="8">
        <f>IF(F879="","ไม่ครบ","ครบ")</f>
        <v/>
      </c>
      <c r="J879" s="8">
        <f>IF(G879="","ไม่ครบ","ครบ")</f>
        <v/>
      </c>
      <c r="K879" s="8">
        <f>IF(OR(F879="",G879=""),"ไม่ผ่าน",IF(H879&gt;=90,"ผ่าน","ไม่ผ่าน"))</f>
        <v/>
      </c>
      <c r="L879" s="8">
        <f>IF(K879="ผ่าน",1,0)</f>
        <v/>
      </c>
      <c r="N879" s="7" t="n"/>
    </row>
    <row r="880">
      <c r="F880" s="7" t="n"/>
      <c r="G880" s="7" t="n"/>
      <c r="H880" s="8">
        <f>IF(OR(F880="",G880=""),"",MAX(0,ROUND((G880-F880)*1440,0)))</f>
        <v/>
      </c>
      <c r="I880" s="8">
        <f>IF(F880="","ไม่ครบ","ครบ")</f>
        <v/>
      </c>
      <c r="J880" s="8">
        <f>IF(G880="","ไม่ครบ","ครบ")</f>
        <v/>
      </c>
      <c r="K880" s="8">
        <f>IF(OR(F880="",G880=""),"ไม่ผ่าน",IF(H880&gt;=90,"ผ่าน","ไม่ผ่าน"))</f>
        <v/>
      </c>
      <c r="L880" s="8">
        <f>IF(K880="ผ่าน",1,0)</f>
        <v/>
      </c>
      <c r="N880" s="7" t="n"/>
    </row>
    <row r="881">
      <c r="F881" s="7" t="n"/>
      <c r="G881" s="7" t="n"/>
      <c r="H881" s="8">
        <f>IF(OR(F881="",G881=""),"",MAX(0,ROUND((G881-F881)*1440,0)))</f>
        <v/>
      </c>
      <c r="I881" s="8">
        <f>IF(F881="","ไม่ครบ","ครบ")</f>
        <v/>
      </c>
      <c r="J881" s="8">
        <f>IF(G881="","ไม่ครบ","ครบ")</f>
        <v/>
      </c>
      <c r="K881" s="8">
        <f>IF(OR(F881="",G881=""),"ไม่ผ่าน",IF(H881&gt;=90,"ผ่าน","ไม่ผ่าน"))</f>
        <v/>
      </c>
      <c r="L881" s="8">
        <f>IF(K881="ผ่าน",1,0)</f>
        <v/>
      </c>
      <c r="N881" s="7" t="n"/>
    </row>
    <row r="882">
      <c r="F882" s="7" t="n"/>
      <c r="G882" s="7" t="n"/>
      <c r="H882" s="8">
        <f>IF(OR(F882="",G882=""),"",MAX(0,ROUND((G882-F882)*1440,0)))</f>
        <v/>
      </c>
      <c r="I882" s="8">
        <f>IF(F882="","ไม่ครบ","ครบ")</f>
        <v/>
      </c>
      <c r="J882" s="8">
        <f>IF(G882="","ไม่ครบ","ครบ")</f>
        <v/>
      </c>
      <c r="K882" s="8">
        <f>IF(OR(F882="",G882=""),"ไม่ผ่าน",IF(H882&gt;=90,"ผ่าน","ไม่ผ่าน"))</f>
        <v/>
      </c>
      <c r="L882" s="8">
        <f>IF(K882="ผ่าน",1,0)</f>
        <v/>
      </c>
      <c r="N882" s="7" t="n"/>
    </row>
    <row r="883">
      <c r="F883" s="7" t="n"/>
      <c r="G883" s="7" t="n"/>
      <c r="H883" s="8">
        <f>IF(OR(F883="",G883=""),"",MAX(0,ROUND((G883-F883)*1440,0)))</f>
        <v/>
      </c>
      <c r="I883" s="8">
        <f>IF(F883="","ไม่ครบ","ครบ")</f>
        <v/>
      </c>
      <c r="J883" s="8">
        <f>IF(G883="","ไม่ครบ","ครบ")</f>
        <v/>
      </c>
      <c r="K883" s="8">
        <f>IF(OR(F883="",G883=""),"ไม่ผ่าน",IF(H883&gt;=90,"ผ่าน","ไม่ผ่าน"))</f>
        <v/>
      </c>
      <c r="L883" s="8">
        <f>IF(K883="ผ่าน",1,0)</f>
        <v/>
      </c>
      <c r="N883" s="7" t="n"/>
    </row>
    <row r="884">
      <c r="F884" s="7" t="n"/>
      <c r="G884" s="7" t="n"/>
      <c r="H884" s="8">
        <f>IF(OR(F884="",G884=""),"",MAX(0,ROUND((G884-F884)*1440,0)))</f>
        <v/>
      </c>
      <c r="I884" s="8">
        <f>IF(F884="","ไม่ครบ","ครบ")</f>
        <v/>
      </c>
      <c r="J884" s="8">
        <f>IF(G884="","ไม่ครบ","ครบ")</f>
        <v/>
      </c>
      <c r="K884" s="8">
        <f>IF(OR(F884="",G884=""),"ไม่ผ่าน",IF(H884&gt;=90,"ผ่าน","ไม่ผ่าน"))</f>
        <v/>
      </c>
      <c r="L884" s="8">
        <f>IF(K884="ผ่าน",1,0)</f>
        <v/>
      </c>
      <c r="N884" s="7" t="n"/>
    </row>
    <row r="885">
      <c r="F885" s="7" t="n"/>
      <c r="G885" s="7" t="n"/>
      <c r="H885" s="8">
        <f>IF(OR(F885="",G885=""),"",MAX(0,ROUND((G885-F885)*1440,0)))</f>
        <v/>
      </c>
      <c r="I885" s="8">
        <f>IF(F885="","ไม่ครบ","ครบ")</f>
        <v/>
      </c>
      <c r="J885" s="8">
        <f>IF(G885="","ไม่ครบ","ครบ")</f>
        <v/>
      </c>
      <c r="K885" s="8">
        <f>IF(OR(F885="",G885=""),"ไม่ผ่าน",IF(H885&gt;=90,"ผ่าน","ไม่ผ่าน"))</f>
        <v/>
      </c>
      <c r="L885" s="8">
        <f>IF(K885="ผ่าน",1,0)</f>
        <v/>
      </c>
      <c r="N885" s="7" t="n"/>
    </row>
    <row r="886">
      <c r="F886" s="7" t="n"/>
      <c r="G886" s="7" t="n"/>
      <c r="H886" s="8">
        <f>IF(OR(F886="",G886=""),"",MAX(0,ROUND((G886-F886)*1440,0)))</f>
        <v/>
      </c>
      <c r="I886" s="8">
        <f>IF(F886="","ไม่ครบ","ครบ")</f>
        <v/>
      </c>
      <c r="J886" s="8">
        <f>IF(G886="","ไม่ครบ","ครบ")</f>
        <v/>
      </c>
      <c r="K886" s="8">
        <f>IF(OR(F886="",G886=""),"ไม่ผ่าน",IF(H886&gt;=90,"ผ่าน","ไม่ผ่าน"))</f>
        <v/>
      </c>
      <c r="L886" s="8">
        <f>IF(K886="ผ่าน",1,0)</f>
        <v/>
      </c>
      <c r="N886" s="7" t="n"/>
    </row>
    <row r="887">
      <c r="F887" s="7" t="n"/>
      <c r="G887" s="7" t="n"/>
      <c r="H887" s="8">
        <f>IF(OR(F887="",G887=""),"",MAX(0,ROUND((G887-F887)*1440,0)))</f>
        <v/>
      </c>
      <c r="I887" s="8">
        <f>IF(F887="","ไม่ครบ","ครบ")</f>
        <v/>
      </c>
      <c r="J887" s="8">
        <f>IF(G887="","ไม่ครบ","ครบ")</f>
        <v/>
      </c>
      <c r="K887" s="8">
        <f>IF(OR(F887="",G887=""),"ไม่ผ่าน",IF(H887&gt;=90,"ผ่าน","ไม่ผ่าน"))</f>
        <v/>
      </c>
      <c r="L887" s="8">
        <f>IF(K887="ผ่าน",1,0)</f>
        <v/>
      </c>
      <c r="N887" s="7" t="n"/>
    </row>
    <row r="888">
      <c r="F888" s="7" t="n"/>
      <c r="G888" s="7" t="n"/>
      <c r="H888" s="8">
        <f>IF(OR(F888="",G888=""),"",MAX(0,ROUND((G888-F888)*1440,0)))</f>
        <v/>
      </c>
      <c r="I888" s="8">
        <f>IF(F888="","ไม่ครบ","ครบ")</f>
        <v/>
      </c>
      <c r="J888" s="8">
        <f>IF(G888="","ไม่ครบ","ครบ")</f>
        <v/>
      </c>
      <c r="K888" s="8">
        <f>IF(OR(F888="",G888=""),"ไม่ผ่าน",IF(H888&gt;=90,"ผ่าน","ไม่ผ่าน"))</f>
        <v/>
      </c>
      <c r="L888" s="8">
        <f>IF(K888="ผ่าน",1,0)</f>
        <v/>
      </c>
      <c r="N888" s="7" t="n"/>
    </row>
    <row r="889">
      <c r="F889" s="7" t="n"/>
      <c r="G889" s="7" t="n"/>
      <c r="H889" s="8">
        <f>IF(OR(F889="",G889=""),"",MAX(0,ROUND((G889-F889)*1440,0)))</f>
        <v/>
      </c>
      <c r="I889" s="8">
        <f>IF(F889="","ไม่ครบ","ครบ")</f>
        <v/>
      </c>
      <c r="J889" s="8">
        <f>IF(G889="","ไม่ครบ","ครบ")</f>
        <v/>
      </c>
      <c r="K889" s="8">
        <f>IF(OR(F889="",G889=""),"ไม่ผ่าน",IF(H889&gt;=90,"ผ่าน","ไม่ผ่าน"))</f>
        <v/>
      </c>
      <c r="L889" s="8">
        <f>IF(K889="ผ่าน",1,0)</f>
        <v/>
      </c>
      <c r="N889" s="7" t="n"/>
    </row>
    <row r="890">
      <c r="F890" s="7" t="n"/>
      <c r="G890" s="7" t="n"/>
      <c r="H890" s="8">
        <f>IF(OR(F890="",G890=""),"",MAX(0,ROUND((G890-F890)*1440,0)))</f>
        <v/>
      </c>
      <c r="I890" s="8">
        <f>IF(F890="","ไม่ครบ","ครบ")</f>
        <v/>
      </c>
      <c r="J890" s="8">
        <f>IF(G890="","ไม่ครบ","ครบ")</f>
        <v/>
      </c>
      <c r="K890" s="8">
        <f>IF(OR(F890="",G890=""),"ไม่ผ่าน",IF(H890&gt;=90,"ผ่าน","ไม่ผ่าน"))</f>
        <v/>
      </c>
      <c r="L890" s="8">
        <f>IF(K890="ผ่าน",1,0)</f>
        <v/>
      </c>
      <c r="N890" s="7" t="n"/>
    </row>
    <row r="891">
      <c r="F891" s="7" t="n"/>
      <c r="G891" s="7" t="n"/>
      <c r="H891" s="8">
        <f>IF(OR(F891="",G891=""),"",MAX(0,ROUND((G891-F891)*1440,0)))</f>
        <v/>
      </c>
      <c r="I891" s="8">
        <f>IF(F891="","ไม่ครบ","ครบ")</f>
        <v/>
      </c>
      <c r="J891" s="8">
        <f>IF(G891="","ไม่ครบ","ครบ")</f>
        <v/>
      </c>
      <c r="K891" s="8">
        <f>IF(OR(F891="",G891=""),"ไม่ผ่าน",IF(H891&gt;=90,"ผ่าน","ไม่ผ่าน"))</f>
        <v/>
      </c>
      <c r="L891" s="8">
        <f>IF(K891="ผ่าน",1,0)</f>
        <v/>
      </c>
      <c r="N891" s="7" t="n"/>
    </row>
    <row r="892">
      <c r="F892" s="7" t="n"/>
      <c r="G892" s="7" t="n"/>
      <c r="H892" s="8">
        <f>IF(OR(F892="",G892=""),"",MAX(0,ROUND((G892-F892)*1440,0)))</f>
        <v/>
      </c>
      <c r="I892" s="8">
        <f>IF(F892="","ไม่ครบ","ครบ")</f>
        <v/>
      </c>
      <c r="J892" s="8">
        <f>IF(G892="","ไม่ครบ","ครบ")</f>
        <v/>
      </c>
      <c r="K892" s="8">
        <f>IF(OR(F892="",G892=""),"ไม่ผ่าน",IF(H892&gt;=90,"ผ่าน","ไม่ผ่าน"))</f>
        <v/>
      </c>
      <c r="L892" s="8">
        <f>IF(K892="ผ่าน",1,0)</f>
        <v/>
      </c>
      <c r="N892" s="7" t="n"/>
    </row>
    <row r="893">
      <c r="F893" s="7" t="n"/>
      <c r="G893" s="7" t="n"/>
      <c r="H893" s="8">
        <f>IF(OR(F893="",G893=""),"",MAX(0,ROUND((G893-F893)*1440,0)))</f>
        <v/>
      </c>
      <c r="I893" s="8">
        <f>IF(F893="","ไม่ครบ","ครบ")</f>
        <v/>
      </c>
      <c r="J893" s="8">
        <f>IF(G893="","ไม่ครบ","ครบ")</f>
        <v/>
      </c>
      <c r="K893" s="8">
        <f>IF(OR(F893="",G893=""),"ไม่ผ่าน",IF(H893&gt;=90,"ผ่าน","ไม่ผ่าน"))</f>
        <v/>
      </c>
      <c r="L893" s="8">
        <f>IF(K893="ผ่าน",1,0)</f>
        <v/>
      </c>
      <c r="N893" s="7" t="n"/>
    </row>
    <row r="894">
      <c r="F894" s="7" t="n"/>
      <c r="G894" s="7" t="n"/>
      <c r="H894" s="8">
        <f>IF(OR(F894="",G894=""),"",MAX(0,ROUND((G894-F894)*1440,0)))</f>
        <v/>
      </c>
      <c r="I894" s="8">
        <f>IF(F894="","ไม่ครบ","ครบ")</f>
        <v/>
      </c>
      <c r="J894" s="8">
        <f>IF(G894="","ไม่ครบ","ครบ")</f>
        <v/>
      </c>
      <c r="K894" s="8">
        <f>IF(OR(F894="",G894=""),"ไม่ผ่าน",IF(H894&gt;=90,"ผ่าน","ไม่ผ่าน"))</f>
        <v/>
      </c>
      <c r="L894" s="8">
        <f>IF(K894="ผ่าน",1,0)</f>
        <v/>
      </c>
      <c r="N894" s="7" t="n"/>
    </row>
    <row r="895">
      <c r="F895" s="7" t="n"/>
      <c r="G895" s="7" t="n"/>
      <c r="H895" s="8">
        <f>IF(OR(F895="",G895=""),"",MAX(0,ROUND((G895-F895)*1440,0)))</f>
        <v/>
      </c>
      <c r="I895" s="8">
        <f>IF(F895="","ไม่ครบ","ครบ")</f>
        <v/>
      </c>
      <c r="J895" s="8">
        <f>IF(G895="","ไม่ครบ","ครบ")</f>
        <v/>
      </c>
      <c r="K895" s="8">
        <f>IF(OR(F895="",G895=""),"ไม่ผ่าน",IF(H895&gt;=90,"ผ่าน","ไม่ผ่าน"))</f>
        <v/>
      </c>
      <c r="L895" s="8">
        <f>IF(K895="ผ่าน",1,0)</f>
        <v/>
      </c>
      <c r="N895" s="7" t="n"/>
    </row>
    <row r="896">
      <c r="F896" s="7" t="n"/>
      <c r="G896" s="7" t="n"/>
      <c r="H896" s="8">
        <f>IF(OR(F896="",G896=""),"",MAX(0,ROUND((G896-F896)*1440,0)))</f>
        <v/>
      </c>
      <c r="I896" s="8">
        <f>IF(F896="","ไม่ครบ","ครบ")</f>
        <v/>
      </c>
      <c r="J896" s="8">
        <f>IF(G896="","ไม่ครบ","ครบ")</f>
        <v/>
      </c>
      <c r="K896" s="8">
        <f>IF(OR(F896="",G896=""),"ไม่ผ่าน",IF(H896&gt;=90,"ผ่าน","ไม่ผ่าน"))</f>
        <v/>
      </c>
      <c r="L896" s="8">
        <f>IF(K896="ผ่าน",1,0)</f>
        <v/>
      </c>
      <c r="N896" s="7" t="n"/>
    </row>
    <row r="897">
      <c r="F897" s="7" t="n"/>
      <c r="G897" s="7" t="n"/>
      <c r="H897" s="8">
        <f>IF(OR(F897="",G897=""),"",MAX(0,ROUND((G897-F897)*1440,0)))</f>
        <v/>
      </c>
      <c r="I897" s="8">
        <f>IF(F897="","ไม่ครบ","ครบ")</f>
        <v/>
      </c>
      <c r="J897" s="8">
        <f>IF(G897="","ไม่ครบ","ครบ")</f>
        <v/>
      </c>
      <c r="K897" s="8">
        <f>IF(OR(F897="",G897=""),"ไม่ผ่าน",IF(H897&gt;=90,"ผ่าน","ไม่ผ่าน"))</f>
        <v/>
      </c>
      <c r="L897" s="8">
        <f>IF(K897="ผ่าน",1,0)</f>
        <v/>
      </c>
      <c r="N897" s="7" t="n"/>
    </row>
    <row r="898">
      <c r="F898" s="7" t="n"/>
      <c r="G898" s="7" t="n"/>
      <c r="H898" s="8">
        <f>IF(OR(F898="",G898=""),"",MAX(0,ROUND((G898-F898)*1440,0)))</f>
        <v/>
      </c>
      <c r="I898" s="8">
        <f>IF(F898="","ไม่ครบ","ครบ")</f>
        <v/>
      </c>
      <c r="J898" s="8">
        <f>IF(G898="","ไม่ครบ","ครบ")</f>
        <v/>
      </c>
      <c r="K898" s="8">
        <f>IF(OR(F898="",G898=""),"ไม่ผ่าน",IF(H898&gt;=90,"ผ่าน","ไม่ผ่าน"))</f>
        <v/>
      </c>
      <c r="L898" s="8">
        <f>IF(K898="ผ่าน",1,0)</f>
        <v/>
      </c>
      <c r="N898" s="7" t="n"/>
    </row>
    <row r="899">
      <c r="F899" s="7" t="n"/>
      <c r="G899" s="7" t="n"/>
      <c r="H899" s="8">
        <f>IF(OR(F899="",G899=""),"",MAX(0,ROUND((G899-F899)*1440,0)))</f>
        <v/>
      </c>
      <c r="I899" s="8">
        <f>IF(F899="","ไม่ครบ","ครบ")</f>
        <v/>
      </c>
      <c r="J899" s="8">
        <f>IF(G899="","ไม่ครบ","ครบ")</f>
        <v/>
      </c>
      <c r="K899" s="8">
        <f>IF(OR(F899="",G899=""),"ไม่ผ่าน",IF(H899&gt;=90,"ผ่าน","ไม่ผ่าน"))</f>
        <v/>
      </c>
      <c r="L899" s="8">
        <f>IF(K899="ผ่าน",1,0)</f>
        <v/>
      </c>
      <c r="N899" s="7" t="n"/>
    </row>
    <row r="900">
      <c r="F900" s="7" t="n"/>
      <c r="G900" s="7" t="n"/>
      <c r="H900" s="8">
        <f>IF(OR(F900="",G900=""),"",MAX(0,ROUND((G900-F900)*1440,0)))</f>
        <v/>
      </c>
      <c r="I900" s="8">
        <f>IF(F900="","ไม่ครบ","ครบ")</f>
        <v/>
      </c>
      <c r="J900" s="8">
        <f>IF(G900="","ไม่ครบ","ครบ")</f>
        <v/>
      </c>
      <c r="K900" s="8">
        <f>IF(OR(F900="",G900=""),"ไม่ผ่าน",IF(H900&gt;=90,"ผ่าน","ไม่ผ่าน"))</f>
        <v/>
      </c>
      <c r="L900" s="8">
        <f>IF(K900="ผ่าน",1,0)</f>
        <v/>
      </c>
      <c r="N900" s="7" t="n"/>
    </row>
    <row r="901">
      <c r="F901" s="7" t="n"/>
      <c r="G901" s="7" t="n"/>
      <c r="H901" s="8">
        <f>IF(OR(F901="",G901=""),"",MAX(0,ROUND((G901-F901)*1440,0)))</f>
        <v/>
      </c>
      <c r="I901" s="8">
        <f>IF(F901="","ไม่ครบ","ครบ")</f>
        <v/>
      </c>
      <c r="J901" s="8">
        <f>IF(G901="","ไม่ครบ","ครบ")</f>
        <v/>
      </c>
      <c r="K901" s="8">
        <f>IF(OR(F901="",G901=""),"ไม่ผ่าน",IF(H901&gt;=90,"ผ่าน","ไม่ผ่าน"))</f>
        <v/>
      </c>
      <c r="L901" s="8">
        <f>IF(K901="ผ่าน",1,0)</f>
        <v/>
      </c>
      <c r="N901" s="7" t="n"/>
    </row>
    <row r="902">
      <c r="F902" s="7" t="n"/>
      <c r="G902" s="7" t="n"/>
      <c r="H902" s="8">
        <f>IF(OR(F902="",G902=""),"",MAX(0,ROUND((G902-F902)*1440,0)))</f>
        <v/>
      </c>
      <c r="I902" s="8">
        <f>IF(F902="","ไม่ครบ","ครบ")</f>
        <v/>
      </c>
      <c r="J902" s="8">
        <f>IF(G902="","ไม่ครบ","ครบ")</f>
        <v/>
      </c>
      <c r="K902" s="8">
        <f>IF(OR(F902="",G902=""),"ไม่ผ่าน",IF(H902&gt;=90,"ผ่าน","ไม่ผ่าน"))</f>
        <v/>
      </c>
      <c r="L902" s="8">
        <f>IF(K902="ผ่าน",1,0)</f>
        <v/>
      </c>
      <c r="N902" s="7" t="n"/>
    </row>
    <row r="903">
      <c r="F903" s="7" t="n"/>
      <c r="G903" s="7" t="n"/>
      <c r="H903" s="8">
        <f>IF(OR(F903="",G903=""),"",MAX(0,ROUND((G903-F903)*1440,0)))</f>
        <v/>
      </c>
      <c r="I903" s="8">
        <f>IF(F903="","ไม่ครบ","ครบ")</f>
        <v/>
      </c>
      <c r="J903" s="8">
        <f>IF(G903="","ไม่ครบ","ครบ")</f>
        <v/>
      </c>
      <c r="K903" s="8">
        <f>IF(OR(F903="",G903=""),"ไม่ผ่าน",IF(H903&gt;=90,"ผ่าน","ไม่ผ่าน"))</f>
        <v/>
      </c>
      <c r="L903" s="8">
        <f>IF(K903="ผ่าน",1,0)</f>
        <v/>
      </c>
      <c r="N903" s="7" t="n"/>
    </row>
    <row r="904">
      <c r="F904" s="7" t="n"/>
      <c r="G904" s="7" t="n"/>
      <c r="H904" s="8">
        <f>IF(OR(F904="",G904=""),"",MAX(0,ROUND((G904-F904)*1440,0)))</f>
        <v/>
      </c>
      <c r="I904" s="8">
        <f>IF(F904="","ไม่ครบ","ครบ")</f>
        <v/>
      </c>
      <c r="J904" s="8">
        <f>IF(G904="","ไม่ครบ","ครบ")</f>
        <v/>
      </c>
      <c r="K904" s="8">
        <f>IF(OR(F904="",G904=""),"ไม่ผ่าน",IF(H904&gt;=90,"ผ่าน","ไม่ผ่าน"))</f>
        <v/>
      </c>
      <c r="L904" s="8">
        <f>IF(K904="ผ่าน",1,0)</f>
        <v/>
      </c>
      <c r="N904" s="7" t="n"/>
    </row>
    <row r="905">
      <c r="F905" s="7" t="n"/>
      <c r="G905" s="7" t="n"/>
      <c r="H905" s="8">
        <f>IF(OR(F905="",G905=""),"",MAX(0,ROUND((G905-F905)*1440,0)))</f>
        <v/>
      </c>
      <c r="I905" s="8">
        <f>IF(F905="","ไม่ครบ","ครบ")</f>
        <v/>
      </c>
      <c r="J905" s="8">
        <f>IF(G905="","ไม่ครบ","ครบ")</f>
        <v/>
      </c>
      <c r="K905" s="8">
        <f>IF(OR(F905="",G905=""),"ไม่ผ่าน",IF(H905&gt;=90,"ผ่าน","ไม่ผ่าน"))</f>
        <v/>
      </c>
      <c r="L905" s="8">
        <f>IF(K905="ผ่าน",1,0)</f>
        <v/>
      </c>
      <c r="N905" s="7" t="n"/>
    </row>
    <row r="906">
      <c r="F906" s="7" t="n"/>
      <c r="G906" s="7" t="n"/>
      <c r="H906" s="8">
        <f>IF(OR(F906="",G906=""),"",MAX(0,ROUND((G906-F906)*1440,0)))</f>
        <v/>
      </c>
      <c r="I906" s="8">
        <f>IF(F906="","ไม่ครบ","ครบ")</f>
        <v/>
      </c>
      <c r="J906" s="8">
        <f>IF(G906="","ไม่ครบ","ครบ")</f>
        <v/>
      </c>
      <c r="K906" s="8">
        <f>IF(OR(F906="",G906=""),"ไม่ผ่าน",IF(H906&gt;=90,"ผ่าน","ไม่ผ่าน"))</f>
        <v/>
      </c>
      <c r="L906" s="8">
        <f>IF(K906="ผ่าน",1,0)</f>
        <v/>
      </c>
      <c r="N906" s="7" t="n"/>
    </row>
    <row r="907">
      <c r="F907" s="7" t="n"/>
      <c r="G907" s="7" t="n"/>
      <c r="H907" s="8">
        <f>IF(OR(F907="",G907=""),"",MAX(0,ROUND((G907-F907)*1440,0)))</f>
        <v/>
      </c>
      <c r="I907" s="8">
        <f>IF(F907="","ไม่ครบ","ครบ")</f>
        <v/>
      </c>
      <c r="J907" s="8">
        <f>IF(G907="","ไม่ครบ","ครบ")</f>
        <v/>
      </c>
      <c r="K907" s="8">
        <f>IF(OR(F907="",G907=""),"ไม่ผ่าน",IF(H907&gt;=90,"ผ่าน","ไม่ผ่าน"))</f>
        <v/>
      </c>
      <c r="L907" s="8">
        <f>IF(K907="ผ่าน",1,0)</f>
        <v/>
      </c>
      <c r="N907" s="7" t="n"/>
    </row>
    <row r="908">
      <c r="F908" s="7" t="n"/>
      <c r="G908" s="7" t="n"/>
      <c r="H908" s="8">
        <f>IF(OR(F908="",G908=""),"",MAX(0,ROUND((G908-F908)*1440,0)))</f>
        <v/>
      </c>
      <c r="I908" s="8">
        <f>IF(F908="","ไม่ครบ","ครบ")</f>
        <v/>
      </c>
      <c r="J908" s="8">
        <f>IF(G908="","ไม่ครบ","ครบ")</f>
        <v/>
      </c>
      <c r="K908" s="8">
        <f>IF(OR(F908="",G908=""),"ไม่ผ่าน",IF(H908&gt;=90,"ผ่าน","ไม่ผ่าน"))</f>
        <v/>
      </c>
      <c r="L908" s="8">
        <f>IF(K908="ผ่าน",1,0)</f>
        <v/>
      </c>
      <c r="N908" s="7" t="n"/>
    </row>
    <row r="909">
      <c r="F909" s="7" t="n"/>
      <c r="G909" s="7" t="n"/>
      <c r="H909" s="8">
        <f>IF(OR(F909="",G909=""),"",MAX(0,ROUND((G909-F909)*1440,0)))</f>
        <v/>
      </c>
      <c r="I909" s="8">
        <f>IF(F909="","ไม่ครบ","ครบ")</f>
        <v/>
      </c>
      <c r="J909" s="8">
        <f>IF(G909="","ไม่ครบ","ครบ")</f>
        <v/>
      </c>
      <c r="K909" s="8">
        <f>IF(OR(F909="",G909=""),"ไม่ผ่าน",IF(H909&gt;=90,"ผ่าน","ไม่ผ่าน"))</f>
        <v/>
      </c>
      <c r="L909" s="8">
        <f>IF(K909="ผ่าน",1,0)</f>
        <v/>
      </c>
      <c r="N909" s="7" t="n"/>
    </row>
    <row r="910">
      <c r="F910" s="7" t="n"/>
      <c r="G910" s="7" t="n"/>
      <c r="H910" s="8">
        <f>IF(OR(F910="",G910=""),"",MAX(0,ROUND((G910-F910)*1440,0)))</f>
        <v/>
      </c>
      <c r="I910" s="8">
        <f>IF(F910="","ไม่ครบ","ครบ")</f>
        <v/>
      </c>
      <c r="J910" s="8">
        <f>IF(G910="","ไม่ครบ","ครบ")</f>
        <v/>
      </c>
      <c r="K910" s="8">
        <f>IF(OR(F910="",G910=""),"ไม่ผ่าน",IF(H910&gt;=90,"ผ่าน","ไม่ผ่าน"))</f>
        <v/>
      </c>
      <c r="L910" s="8">
        <f>IF(K910="ผ่าน",1,0)</f>
        <v/>
      </c>
      <c r="N910" s="7" t="n"/>
    </row>
    <row r="911">
      <c r="F911" s="7" t="n"/>
      <c r="G911" s="7" t="n"/>
      <c r="H911" s="8">
        <f>IF(OR(F911="",G911=""),"",MAX(0,ROUND((G911-F911)*1440,0)))</f>
        <v/>
      </c>
      <c r="I911" s="8">
        <f>IF(F911="","ไม่ครบ","ครบ")</f>
        <v/>
      </c>
      <c r="J911" s="8">
        <f>IF(G911="","ไม่ครบ","ครบ")</f>
        <v/>
      </c>
      <c r="K911" s="8">
        <f>IF(OR(F911="",G911=""),"ไม่ผ่าน",IF(H911&gt;=90,"ผ่าน","ไม่ผ่าน"))</f>
        <v/>
      </c>
      <c r="L911" s="8">
        <f>IF(K911="ผ่าน",1,0)</f>
        <v/>
      </c>
      <c r="N911" s="7" t="n"/>
    </row>
    <row r="912">
      <c r="F912" s="7" t="n"/>
      <c r="G912" s="7" t="n"/>
      <c r="H912" s="8">
        <f>IF(OR(F912="",G912=""),"",MAX(0,ROUND((G912-F912)*1440,0)))</f>
        <v/>
      </c>
      <c r="I912" s="8">
        <f>IF(F912="","ไม่ครบ","ครบ")</f>
        <v/>
      </c>
      <c r="J912" s="8">
        <f>IF(G912="","ไม่ครบ","ครบ")</f>
        <v/>
      </c>
      <c r="K912" s="8">
        <f>IF(OR(F912="",G912=""),"ไม่ผ่าน",IF(H912&gt;=90,"ผ่าน","ไม่ผ่าน"))</f>
        <v/>
      </c>
      <c r="L912" s="8">
        <f>IF(K912="ผ่าน",1,0)</f>
        <v/>
      </c>
      <c r="N912" s="7" t="n"/>
    </row>
    <row r="913">
      <c r="F913" s="7" t="n"/>
      <c r="G913" s="7" t="n"/>
      <c r="H913" s="8">
        <f>IF(OR(F913="",G913=""),"",MAX(0,ROUND((G913-F913)*1440,0)))</f>
        <v/>
      </c>
      <c r="I913" s="8">
        <f>IF(F913="","ไม่ครบ","ครบ")</f>
        <v/>
      </c>
      <c r="J913" s="8">
        <f>IF(G913="","ไม่ครบ","ครบ")</f>
        <v/>
      </c>
      <c r="K913" s="8">
        <f>IF(OR(F913="",G913=""),"ไม่ผ่าน",IF(H913&gt;=90,"ผ่าน","ไม่ผ่าน"))</f>
        <v/>
      </c>
      <c r="L913" s="8">
        <f>IF(K913="ผ่าน",1,0)</f>
        <v/>
      </c>
      <c r="N913" s="7" t="n"/>
    </row>
    <row r="914">
      <c r="F914" s="7" t="n"/>
      <c r="G914" s="7" t="n"/>
      <c r="H914" s="8">
        <f>IF(OR(F914="",G914=""),"",MAX(0,ROUND((G914-F914)*1440,0)))</f>
        <v/>
      </c>
      <c r="I914" s="8">
        <f>IF(F914="","ไม่ครบ","ครบ")</f>
        <v/>
      </c>
      <c r="J914" s="8">
        <f>IF(G914="","ไม่ครบ","ครบ")</f>
        <v/>
      </c>
      <c r="K914" s="8">
        <f>IF(OR(F914="",G914=""),"ไม่ผ่าน",IF(H914&gt;=90,"ผ่าน","ไม่ผ่าน"))</f>
        <v/>
      </c>
      <c r="L914" s="8">
        <f>IF(K914="ผ่าน",1,0)</f>
        <v/>
      </c>
      <c r="N914" s="7" t="n"/>
    </row>
    <row r="915">
      <c r="F915" s="7" t="n"/>
      <c r="G915" s="7" t="n"/>
      <c r="H915" s="8">
        <f>IF(OR(F915="",G915=""),"",MAX(0,ROUND((G915-F915)*1440,0)))</f>
        <v/>
      </c>
      <c r="I915" s="8">
        <f>IF(F915="","ไม่ครบ","ครบ")</f>
        <v/>
      </c>
      <c r="J915" s="8">
        <f>IF(G915="","ไม่ครบ","ครบ")</f>
        <v/>
      </c>
      <c r="K915" s="8">
        <f>IF(OR(F915="",G915=""),"ไม่ผ่าน",IF(H915&gt;=90,"ผ่าน","ไม่ผ่าน"))</f>
        <v/>
      </c>
      <c r="L915" s="8">
        <f>IF(K915="ผ่าน",1,0)</f>
        <v/>
      </c>
      <c r="N915" s="7" t="n"/>
    </row>
    <row r="916">
      <c r="F916" s="7" t="n"/>
      <c r="G916" s="7" t="n"/>
      <c r="H916" s="8">
        <f>IF(OR(F916="",G916=""),"",MAX(0,ROUND((G916-F916)*1440,0)))</f>
        <v/>
      </c>
      <c r="I916" s="8">
        <f>IF(F916="","ไม่ครบ","ครบ")</f>
        <v/>
      </c>
      <c r="J916" s="8">
        <f>IF(G916="","ไม่ครบ","ครบ")</f>
        <v/>
      </c>
      <c r="K916" s="8">
        <f>IF(OR(F916="",G916=""),"ไม่ผ่าน",IF(H916&gt;=90,"ผ่าน","ไม่ผ่าน"))</f>
        <v/>
      </c>
      <c r="L916" s="8">
        <f>IF(K916="ผ่าน",1,0)</f>
        <v/>
      </c>
      <c r="N916" s="7" t="n"/>
    </row>
    <row r="917">
      <c r="F917" s="7" t="n"/>
      <c r="G917" s="7" t="n"/>
      <c r="H917" s="8">
        <f>IF(OR(F917="",G917=""),"",MAX(0,ROUND((G917-F917)*1440,0)))</f>
        <v/>
      </c>
      <c r="I917" s="8">
        <f>IF(F917="","ไม่ครบ","ครบ")</f>
        <v/>
      </c>
      <c r="J917" s="8">
        <f>IF(G917="","ไม่ครบ","ครบ")</f>
        <v/>
      </c>
      <c r="K917" s="8">
        <f>IF(OR(F917="",G917=""),"ไม่ผ่าน",IF(H917&gt;=90,"ผ่าน","ไม่ผ่าน"))</f>
        <v/>
      </c>
      <c r="L917" s="8">
        <f>IF(K917="ผ่าน",1,0)</f>
        <v/>
      </c>
      <c r="N917" s="7" t="n"/>
    </row>
    <row r="918">
      <c r="F918" s="7" t="n"/>
      <c r="G918" s="7" t="n"/>
      <c r="H918" s="8">
        <f>IF(OR(F918="",G918=""),"",MAX(0,ROUND((G918-F918)*1440,0)))</f>
        <v/>
      </c>
      <c r="I918" s="8">
        <f>IF(F918="","ไม่ครบ","ครบ")</f>
        <v/>
      </c>
      <c r="J918" s="8">
        <f>IF(G918="","ไม่ครบ","ครบ")</f>
        <v/>
      </c>
      <c r="K918" s="8">
        <f>IF(OR(F918="",G918=""),"ไม่ผ่าน",IF(H918&gt;=90,"ผ่าน","ไม่ผ่าน"))</f>
        <v/>
      </c>
      <c r="L918" s="8">
        <f>IF(K918="ผ่าน",1,0)</f>
        <v/>
      </c>
      <c r="N918" s="7" t="n"/>
    </row>
    <row r="919">
      <c r="F919" s="7" t="n"/>
      <c r="G919" s="7" t="n"/>
      <c r="H919" s="8">
        <f>IF(OR(F919="",G919=""),"",MAX(0,ROUND((G919-F919)*1440,0)))</f>
        <v/>
      </c>
      <c r="I919" s="8">
        <f>IF(F919="","ไม่ครบ","ครบ")</f>
        <v/>
      </c>
      <c r="J919" s="8">
        <f>IF(G919="","ไม่ครบ","ครบ")</f>
        <v/>
      </c>
      <c r="K919" s="8">
        <f>IF(OR(F919="",G919=""),"ไม่ผ่าน",IF(H919&gt;=90,"ผ่าน","ไม่ผ่าน"))</f>
        <v/>
      </c>
      <c r="L919" s="8">
        <f>IF(K919="ผ่าน",1,0)</f>
        <v/>
      </c>
      <c r="N919" s="7" t="n"/>
    </row>
    <row r="920">
      <c r="F920" s="7" t="n"/>
      <c r="G920" s="7" t="n"/>
      <c r="H920" s="8">
        <f>IF(OR(F920="",G920=""),"",MAX(0,ROUND((G920-F920)*1440,0)))</f>
        <v/>
      </c>
      <c r="I920" s="8">
        <f>IF(F920="","ไม่ครบ","ครบ")</f>
        <v/>
      </c>
      <c r="J920" s="8">
        <f>IF(G920="","ไม่ครบ","ครบ")</f>
        <v/>
      </c>
      <c r="K920" s="8">
        <f>IF(OR(F920="",G920=""),"ไม่ผ่าน",IF(H920&gt;=90,"ผ่าน","ไม่ผ่าน"))</f>
        <v/>
      </c>
      <c r="L920" s="8">
        <f>IF(K920="ผ่าน",1,0)</f>
        <v/>
      </c>
      <c r="N920" s="7" t="n"/>
    </row>
    <row r="921">
      <c r="F921" s="7" t="n"/>
      <c r="G921" s="7" t="n"/>
      <c r="H921" s="8">
        <f>IF(OR(F921="",G921=""),"",MAX(0,ROUND((G921-F921)*1440,0)))</f>
        <v/>
      </c>
      <c r="I921" s="8">
        <f>IF(F921="","ไม่ครบ","ครบ")</f>
        <v/>
      </c>
      <c r="J921" s="8">
        <f>IF(G921="","ไม่ครบ","ครบ")</f>
        <v/>
      </c>
      <c r="K921" s="8">
        <f>IF(OR(F921="",G921=""),"ไม่ผ่าน",IF(H921&gt;=90,"ผ่าน","ไม่ผ่าน"))</f>
        <v/>
      </c>
      <c r="L921" s="8">
        <f>IF(K921="ผ่าน",1,0)</f>
        <v/>
      </c>
      <c r="N921" s="7" t="n"/>
    </row>
    <row r="922">
      <c r="F922" s="7" t="n"/>
      <c r="G922" s="7" t="n"/>
      <c r="H922" s="8">
        <f>IF(OR(F922="",G922=""),"",MAX(0,ROUND((G922-F922)*1440,0)))</f>
        <v/>
      </c>
      <c r="I922" s="8">
        <f>IF(F922="","ไม่ครบ","ครบ")</f>
        <v/>
      </c>
      <c r="J922" s="8">
        <f>IF(G922="","ไม่ครบ","ครบ")</f>
        <v/>
      </c>
      <c r="K922" s="8">
        <f>IF(OR(F922="",G922=""),"ไม่ผ่าน",IF(H922&gt;=90,"ผ่าน","ไม่ผ่าน"))</f>
        <v/>
      </c>
      <c r="L922" s="8">
        <f>IF(K922="ผ่าน",1,0)</f>
        <v/>
      </c>
      <c r="N922" s="7" t="n"/>
    </row>
    <row r="923">
      <c r="F923" s="7" t="n"/>
      <c r="G923" s="7" t="n"/>
      <c r="H923" s="8">
        <f>IF(OR(F923="",G923=""),"",MAX(0,ROUND((G923-F923)*1440,0)))</f>
        <v/>
      </c>
      <c r="I923" s="8">
        <f>IF(F923="","ไม่ครบ","ครบ")</f>
        <v/>
      </c>
      <c r="J923" s="8">
        <f>IF(G923="","ไม่ครบ","ครบ")</f>
        <v/>
      </c>
      <c r="K923" s="8">
        <f>IF(OR(F923="",G923=""),"ไม่ผ่าน",IF(H923&gt;=90,"ผ่าน","ไม่ผ่าน"))</f>
        <v/>
      </c>
      <c r="L923" s="8">
        <f>IF(K923="ผ่าน",1,0)</f>
        <v/>
      </c>
      <c r="N923" s="7" t="n"/>
    </row>
    <row r="924">
      <c r="F924" s="7" t="n"/>
      <c r="G924" s="7" t="n"/>
      <c r="H924" s="8">
        <f>IF(OR(F924="",G924=""),"",MAX(0,ROUND((G924-F924)*1440,0)))</f>
        <v/>
      </c>
      <c r="I924" s="8">
        <f>IF(F924="","ไม่ครบ","ครบ")</f>
        <v/>
      </c>
      <c r="J924" s="8">
        <f>IF(G924="","ไม่ครบ","ครบ")</f>
        <v/>
      </c>
      <c r="K924" s="8">
        <f>IF(OR(F924="",G924=""),"ไม่ผ่าน",IF(H924&gt;=90,"ผ่าน","ไม่ผ่าน"))</f>
        <v/>
      </c>
      <c r="L924" s="8">
        <f>IF(K924="ผ่าน",1,0)</f>
        <v/>
      </c>
      <c r="N924" s="7" t="n"/>
    </row>
    <row r="925">
      <c r="F925" s="7" t="n"/>
      <c r="G925" s="7" t="n"/>
      <c r="H925" s="8">
        <f>IF(OR(F925="",G925=""),"",MAX(0,ROUND((G925-F925)*1440,0)))</f>
        <v/>
      </c>
      <c r="I925" s="8">
        <f>IF(F925="","ไม่ครบ","ครบ")</f>
        <v/>
      </c>
      <c r="J925" s="8">
        <f>IF(G925="","ไม่ครบ","ครบ")</f>
        <v/>
      </c>
      <c r="K925" s="8">
        <f>IF(OR(F925="",G925=""),"ไม่ผ่าน",IF(H925&gt;=90,"ผ่าน","ไม่ผ่าน"))</f>
        <v/>
      </c>
      <c r="L925" s="8">
        <f>IF(K925="ผ่าน",1,0)</f>
        <v/>
      </c>
      <c r="N925" s="7" t="n"/>
    </row>
    <row r="926">
      <c r="F926" s="7" t="n"/>
      <c r="G926" s="7" t="n"/>
      <c r="H926" s="8">
        <f>IF(OR(F926="",G926=""),"",MAX(0,ROUND((G926-F926)*1440,0)))</f>
        <v/>
      </c>
      <c r="I926" s="8">
        <f>IF(F926="","ไม่ครบ","ครบ")</f>
        <v/>
      </c>
      <c r="J926" s="8">
        <f>IF(G926="","ไม่ครบ","ครบ")</f>
        <v/>
      </c>
      <c r="K926" s="8">
        <f>IF(OR(F926="",G926=""),"ไม่ผ่าน",IF(H926&gt;=90,"ผ่าน","ไม่ผ่าน"))</f>
        <v/>
      </c>
      <c r="L926" s="8">
        <f>IF(K926="ผ่าน",1,0)</f>
        <v/>
      </c>
      <c r="N926" s="7" t="n"/>
    </row>
    <row r="927">
      <c r="F927" s="7" t="n"/>
      <c r="G927" s="7" t="n"/>
      <c r="H927" s="8">
        <f>IF(OR(F927="",G927=""),"",MAX(0,ROUND((G927-F927)*1440,0)))</f>
        <v/>
      </c>
      <c r="I927" s="8">
        <f>IF(F927="","ไม่ครบ","ครบ")</f>
        <v/>
      </c>
      <c r="J927" s="8">
        <f>IF(G927="","ไม่ครบ","ครบ")</f>
        <v/>
      </c>
      <c r="K927" s="8">
        <f>IF(OR(F927="",G927=""),"ไม่ผ่าน",IF(H927&gt;=90,"ผ่าน","ไม่ผ่าน"))</f>
        <v/>
      </c>
      <c r="L927" s="8">
        <f>IF(K927="ผ่าน",1,0)</f>
        <v/>
      </c>
      <c r="N927" s="7" t="n"/>
    </row>
    <row r="928">
      <c r="F928" s="7" t="n"/>
      <c r="G928" s="7" t="n"/>
      <c r="H928" s="8">
        <f>IF(OR(F928="",G928=""),"",MAX(0,ROUND((G928-F928)*1440,0)))</f>
        <v/>
      </c>
      <c r="I928" s="8">
        <f>IF(F928="","ไม่ครบ","ครบ")</f>
        <v/>
      </c>
      <c r="J928" s="8">
        <f>IF(G928="","ไม่ครบ","ครบ")</f>
        <v/>
      </c>
      <c r="K928" s="8">
        <f>IF(OR(F928="",G928=""),"ไม่ผ่าน",IF(H928&gt;=90,"ผ่าน","ไม่ผ่าน"))</f>
        <v/>
      </c>
      <c r="L928" s="8">
        <f>IF(K928="ผ่าน",1,0)</f>
        <v/>
      </c>
      <c r="N928" s="7" t="n"/>
    </row>
    <row r="929">
      <c r="F929" s="7" t="n"/>
      <c r="G929" s="7" t="n"/>
      <c r="H929" s="8">
        <f>IF(OR(F929="",G929=""),"",MAX(0,ROUND((G929-F929)*1440,0)))</f>
        <v/>
      </c>
      <c r="I929" s="8">
        <f>IF(F929="","ไม่ครบ","ครบ")</f>
        <v/>
      </c>
      <c r="J929" s="8">
        <f>IF(G929="","ไม่ครบ","ครบ")</f>
        <v/>
      </c>
      <c r="K929" s="8">
        <f>IF(OR(F929="",G929=""),"ไม่ผ่าน",IF(H929&gt;=90,"ผ่าน","ไม่ผ่าน"))</f>
        <v/>
      </c>
      <c r="L929" s="8">
        <f>IF(K929="ผ่าน",1,0)</f>
        <v/>
      </c>
      <c r="N929" s="7" t="n"/>
    </row>
    <row r="930">
      <c r="F930" s="7" t="n"/>
      <c r="G930" s="7" t="n"/>
      <c r="H930" s="8">
        <f>IF(OR(F930="",G930=""),"",MAX(0,ROUND((G930-F930)*1440,0)))</f>
        <v/>
      </c>
      <c r="I930" s="8">
        <f>IF(F930="","ไม่ครบ","ครบ")</f>
        <v/>
      </c>
      <c r="J930" s="8">
        <f>IF(G930="","ไม่ครบ","ครบ")</f>
        <v/>
      </c>
      <c r="K930" s="8">
        <f>IF(OR(F930="",G930=""),"ไม่ผ่าน",IF(H930&gt;=90,"ผ่าน","ไม่ผ่าน"))</f>
        <v/>
      </c>
      <c r="L930" s="8">
        <f>IF(K930="ผ่าน",1,0)</f>
        <v/>
      </c>
      <c r="N930" s="7" t="n"/>
    </row>
    <row r="931">
      <c r="F931" s="7" t="n"/>
      <c r="G931" s="7" t="n"/>
      <c r="H931" s="8">
        <f>IF(OR(F931="",G931=""),"",MAX(0,ROUND((G931-F931)*1440,0)))</f>
        <v/>
      </c>
      <c r="I931" s="8">
        <f>IF(F931="","ไม่ครบ","ครบ")</f>
        <v/>
      </c>
      <c r="J931" s="8">
        <f>IF(G931="","ไม่ครบ","ครบ")</f>
        <v/>
      </c>
      <c r="K931" s="8">
        <f>IF(OR(F931="",G931=""),"ไม่ผ่าน",IF(H931&gt;=90,"ผ่าน","ไม่ผ่าน"))</f>
        <v/>
      </c>
      <c r="L931" s="8">
        <f>IF(K931="ผ่าน",1,0)</f>
        <v/>
      </c>
      <c r="N931" s="7" t="n"/>
    </row>
    <row r="932">
      <c r="F932" s="7" t="n"/>
      <c r="G932" s="7" t="n"/>
      <c r="H932" s="8">
        <f>IF(OR(F932="",G932=""),"",MAX(0,ROUND((G932-F932)*1440,0)))</f>
        <v/>
      </c>
      <c r="I932" s="8">
        <f>IF(F932="","ไม่ครบ","ครบ")</f>
        <v/>
      </c>
      <c r="J932" s="8">
        <f>IF(G932="","ไม่ครบ","ครบ")</f>
        <v/>
      </c>
      <c r="K932" s="8">
        <f>IF(OR(F932="",G932=""),"ไม่ผ่าน",IF(H932&gt;=90,"ผ่าน","ไม่ผ่าน"))</f>
        <v/>
      </c>
      <c r="L932" s="8">
        <f>IF(K932="ผ่าน",1,0)</f>
        <v/>
      </c>
      <c r="N932" s="7" t="n"/>
    </row>
    <row r="933">
      <c r="F933" s="7" t="n"/>
      <c r="G933" s="7" t="n"/>
      <c r="H933" s="8">
        <f>IF(OR(F933="",G933=""),"",MAX(0,ROUND((G933-F933)*1440,0)))</f>
        <v/>
      </c>
      <c r="I933" s="8">
        <f>IF(F933="","ไม่ครบ","ครบ")</f>
        <v/>
      </c>
      <c r="J933" s="8">
        <f>IF(G933="","ไม่ครบ","ครบ")</f>
        <v/>
      </c>
      <c r="K933" s="8">
        <f>IF(OR(F933="",G933=""),"ไม่ผ่าน",IF(H933&gt;=90,"ผ่าน","ไม่ผ่าน"))</f>
        <v/>
      </c>
      <c r="L933" s="8">
        <f>IF(K933="ผ่าน",1,0)</f>
        <v/>
      </c>
      <c r="N933" s="7" t="n"/>
    </row>
    <row r="934">
      <c r="F934" s="7" t="n"/>
      <c r="G934" s="7" t="n"/>
      <c r="H934" s="8">
        <f>IF(OR(F934="",G934=""),"",MAX(0,ROUND((G934-F934)*1440,0)))</f>
        <v/>
      </c>
      <c r="I934" s="8">
        <f>IF(F934="","ไม่ครบ","ครบ")</f>
        <v/>
      </c>
      <c r="J934" s="8">
        <f>IF(G934="","ไม่ครบ","ครบ")</f>
        <v/>
      </c>
      <c r="K934" s="8">
        <f>IF(OR(F934="",G934=""),"ไม่ผ่าน",IF(H934&gt;=90,"ผ่าน","ไม่ผ่าน"))</f>
        <v/>
      </c>
      <c r="L934" s="8">
        <f>IF(K934="ผ่าน",1,0)</f>
        <v/>
      </c>
      <c r="N934" s="7" t="n"/>
    </row>
    <row r="935">
      <c r="F935" s="7" t="n"/>
      <c r="G935" s="7" t="n"/>
      <c r="H935" s="8">
        <f>IF(OR(F935="",G935=""),"",MAX(0,ROUND((G935-F935)*1440,0)))</f>
        <v/>
      </c>
      <c r="I935" s="8">
        <f>IF(F935="","ไม่ครบ","ครบ")</f>
        <v/>
      </c>
      <c r="J935" s="8">
        <f>IF(G935="","ไม่ครบ","ครบ")</f>
        <v/>
      </c>
      <c r="K935" s="8">
        <f>IF(OR(F935="",G935=""),"ไม่ผ่าน",IF(H935&gt;=90,"ผ่าน","ไม่ผ่าน"))</f>
        <v/>
      </c>
      <c r="L935" s="8">
        <f>IF(K935="ผ่าน",1,0)</f>
        <v/>
      </c>
      <c r="N935" s="7" t="n"/>
    </row>
    <row r="936">
      <c r="F936" s="7" t="n"/>
      <c r="G936" s="7" t="n"/>
      <c r="H936" s="8">
        <f>IF(OR(F936="",G936=""),"",MAX(0,ROUND((G936-F936)*1440,0)))</f>
        <v/>
      </c>
      <c r="I936" s="8">
        <f>IF(F936="","ไม่ครบ","ครบ")</f>
        <v/>
      </c>
      <c r="J936" s="8">
        <f>IF(G936="","ไม่ครบ","ครบ")</f>
        <v/>
      </c>
      <c r="K936" s="8">
        <f>IF(OR(F936="",G936=""),"ไม่ผ่าน",IF(H936&gt;=90,"ผ่าน","ไม่ผ่าน"))</f>
        <v/>
      </c>
      <c r="L936" s="8">
        <f>IF(K936="ผ่าน",1,0)</f>
        <v/>
      </c>
      <c r="N936" s="7" t="n"/>
    </row>
    <row r="937">
      <c r="F937" s="7" t="n"/>
      <c r="G937" s="7" t="n"/>
      <c r="H937" s="8">
        <f>IF(OR(F937="",G937=""),"",MAX(0,ROUND((G937-F937)*1440,0)))</f>
        <v/>
      </c>
      <c r="I937" s="8">
        <f>IF(F937="","ไม่ครบ","ครบ")</f>
        <v/>
      </c>
      <c r="J937" s="8">
        <f>IF(G937="","ไม่ครบ","ครบ")</f>
        <v/>
      </c>
      <c r="K937" s="8">
        <f>IF(OR(F937="",G937=""),"ไม่ผ่าน",IF(H937&gt;=90,"ผ่าน","ไม่ผ่าน"))</f>
        <v/>
      </c>
      <c r="L937" s="8">
        <f>IF(K937="ผ่าน",1,0)</f>
        <v/>
      </c>
      <c r="N937" s="7" t="n"/>
    </row>
    <row r="938">
      <c r="F938" s="7" t="n"/>
      <c r="G938" s="7" t="n"/>
      <c r="H938" s="8">
        <f>IF(OR(F938="",G938=""),"",MAX(0,ROUND((G938-F938)*1440,0)))</f>
        <v/>
      </c>
      <c r="I938" s="8">
        <f>IF(F938="","ไม่ครบ","ครบ")</f>
        <v/>
      </c>
      <c r="J938" s="8">
        <f>IF(G938="","ไม่ครบ","ครบ")</f>
        <v/>
      </c>
      <c r="K938" s="8">
        <f>IF(OR(F938="",G938=""),"ไม่ผ่าน",IF(H938&gt;=90,"ผ่าน","ไม่ผ่าน"))</f>
        <v/>
      </c>
      <c r="L938" s="8">
        <f>IF(K938="ผ่าน",1,0)</f>
        <v/>
      </c>
      <c r="N938" s="7" t="n"/>
    </row>
    <row r="939">
      <c r="F939" s="7" t="n"/>
      <c r="G939" s="7" t="n"/>
      <c r="H939" s="8">
        <f>IF(OR(F939="",G939=""),"",MAX(0,ROUND((G939-F939)*1440,0)))</f>
        <v/>
      </c>
      <c r="I939" s="8">
        <f>IF(F939="","ไม่ครบ","ครบ")</f>
        <v/>
      </c>
      <c r="J939" s="8">
        <f>IF(G939="","ไม่ครบ","ครบ")</f>
        <v/>
      </c>
      <c r="K939" s="8">
        <f>IF(OR(F939="",G939=""),"ไม่ผ่าน",IF(H939&gt;=90,"ผ่าน","ไม่ผ่าน"))</f>
        <v/>
      </c>
      <c r="L939" s="8">
        <f>IF(K939="ผ่าน",1,0)</f>
        <v/>
      </c>
      <c r="N939" s="7" t="n"/>
    </row>
    <row r="940">
      <c r="F940" s="7" t="n"/>
      <c r="G940" s="7" t="n"/>
      <c r="H940" s="8">
        <f>IF(OR(F940="",G940=""),"",MAX(0,ROUND((G940-F940)*1440,0)))</f>
        <v/>
      </c>
      <c r="I940" s="8">
        <f>IF(F940="","ไม่ครบ","ครบ")</f>
        <v/>
      </c>
      <c r="J940" s="8">
        <f>IF(G940="","ไม่ครบ","ครบ")</f>
        <v/>
      </c>
      <c r="K940" s="8">
        <f>IF(OR(F940="",G940=""),"ไม่ผ่าน",IF(H940&gt;=90,"ผ่าน","ไม่ผ่าน"))</f>
        <v/>
      </c>
      <c r="L940" s="8">
        <f>IF(K940="ผ่าน",1,0)</f>
        <v/>
      </c>
      <c r="N940" s="7" t="n"/>
    </row>
    <row r="941">
      <c r="F941" s="7" t="n"/>
      <c r="G941" s="7" t="n"/>
      <c r="H941" s="8">
        <f>IF(OR(F941="",G941=""),"",MAX(0,ROUND((G941-F941)*1440,0)))</f>
        <v/>
      </c>
      <c r="I941" s="8">
        <f>IF(F941="","ไม่ครบ","ครบ")</f>
        <v/>
      </c>
      <c r="J941" s="8">
        <f>IF(G941="","ไม่ครบ","ครบ")</f>
        <v/>
      </c>
      <c r="K941" s="8">
        <f>IF(OR(F941="",G941=""),"ไม่ผ่าน",IF(H941&gt;=90,"ผ่าน","ไม่ผ่าน"))</f>
        <v/>
      </c>
      <c r="L941" s="8">
        <f>IF(K941="ผ่าน",1,0)</f>
        <v/>
      </c>
      <c r="N941" s="7" t="n"/>
    </row>
    <row r="942">
      <c r="F942" s="7" t="n"/>
      <c r="G942" s="7" t="n"/>
      <c r="H942" s="8">
        <f>IF(OR(F942="",G942=""),"",MAX(0,ROUND((G942-F942)*1440,0)))</f>
        <v/>
      </c>
      <c r="I942" s="8">
        <f>IF(F942="","ไม่ครบ","ครบ")</f>
        <v/>
      </c>
      <c r="J942" s="8">
        <f>IF(G942="","ไม่ครบ","ครบ")</f>
        <v/>
      </c>
      <c r="K942" s="8">
        <f>IF(OR(F942="",G942=""),"ไม่ผ่าน",IF(H942&gt;=90,"ผ่าน","ไม่ผ่าน"))</f>
        <v/>
      </c>
      <c r="L942" s="8">
        <f>IF(K942="ผ่าน",1,0)</f>
        <v/>
      </c>
      <c r="N942" s="7" t="n"/>
    </row>
    <row r="943">
      <c r="F943" s="7" t="n"/>
      <c r="G943" s="7" t="n"/>
      <c r="H943" s="8">
        <f>IF(OR(F943="",G943=""),"",MAX(0,ROUND((G943-F943)*1440,0)))</f>
        <v/>
      </c>
      <c r="I943" s="8">
        <f>IF(F943="","ไม่ครบ","ครบ")</f>
        <v/>
      </c>
      <c r="J943" s="8">
        <f>IF(G943="","ไม่ครบ","ครบ")</f>
        <v/>
      </c>
      <c r="K943" s="8">
        <f>IF(OR(F943="",G943=""),"ไม่ผ่าน",IF(H943&gt;=90,"ผ่าน","ไม่ผ่าน"))</f>
        <v/>
      </c>
      <c r="L943" s="8">
        <f>IF(K943="ผ่าน",1,0)</f>
        <v/>
      </c>
      <c r="N943" s="7" t="n"/>
    </row>
    <row r="944">
      <c r="F944" s="7" t="n"/>
      <c r="G944" s="7" t="n"/>
      <c r="H944" s="8">
        <f>IF(OR(F944="",G944=""),"",MAX(0,ROUND((G944-F944)*1440,0)))</f>
        <v/>
      </c>
      <c r="I944" s="8">
        <f>IF(F944="","ไม่ครบ","ครบ")</f>
        <v/>
      </c>
      <c r="J944" s="8">
        <f>IF(G944="","ไม่ครบ","ครบ")</f>
        <v/>
      </c>
      <c r="K944" s="8">
        <f>IF(OR(F944="",G944=""),"ไม่ผ่าน",IF(H944&gt;=90,"ผ่าน","ไม่ผ่าน"))</f>
        <v/>
      </c>
      <c r="L944" s="8">
        <f>IF(K944="ผ่าน",1,0)</f>
        <v/>
      </c>
      <c r="N944" s="7" t="n"/>
    </row>
    <row r="945">
      <c r="F945" s="7" t="n"/>
      <c r="G945" s="7" t="n"/>
      <c r="H945" s="8">
        <f>IF(OR(F945="",G945=""),"",MAX(0,ROUND((G945-F945)*1440,0)))</f>
        <v/>
      </c>
      <c r="I945" s="8">
        <f>IF(F945="","ไม่ครบ","ครบ")</f>
        <v/>
      </c>
      <c r="J945" s="8">
        <f>IF(G945="","ไม่ครบ","ครบ")</f>
        <v/>
      </c>
      <c r="K945" s="8">
        <f>IF(OR(F945="",G945=""),"ไม่ผ่าน",IF(H945&gt;=90,"ผ่าน","ไม่ผ่าน"))</f>
        <v/>
      </c>
      <c r="L945" s="8">
        <f>IF(K945="ผ่าน",1,0)</f>
        <v/>
      </c>
      <c r="N945" s="7" t="n"/>
    </row>
    <row r="946">
      <c r="F946" s="7" t="n"/>
      <c r="G946" s="7" t="n"/>
      <c r="H946" s="8">
        <f>IF(OR(F946="",G946=""),"",MAX(0,ROUND((G946-F946)*1440,0)))</f>
        <v/>
      </c>
      <c r="I946" s="8">
        <f>IF(F946="","ไม่ครบ","ครบ")</f>
        <v/>
      </c>
      <c r="J946" s="8">
        <f>IF(G946="","ไม่ครบ","ครบ")</f>
        <v/>
      </c>
      <c r="K946" s="8">
        <f>IF(OR(F946="",G946=""),"ไม่ผ่าน",IF(H946&gt;=90,"ผ่าน","ไม่ผ่าน"))</f>
        <v/>
      </c>
      <c r="L946" s="8">
        <f>IF(K946="ผ่าน",1,0)</f>
        <v/>
      </c>
      <c r="N946" s="7" t="n"/>
    </row>
    <row r="947">
      <c r="F947" s="7" t="n"/>
      <c r="G947" s="7" t="n"/>
      <c r="H947" s="8">
        <f>IF(OR(F947="",G947=""),"",MAX(0,ROUND((G947-F947)*1440,0)))</f>
        <v/>
      </c>
      <c r="I947" s="8">
        <f>IF(F947="","ไม่ครบ","ครบ")</f>
        <v/>
      </c>
      <c r="J947" s="8">
        <f>IF(G947="","ไม่ครบ","ครบ")</f>
        <v/>
      </c>
      <c r="K947" s="8">
        <f>IF(OR(F947="",G947=""),"ไม่ผ่าน",IF(H947&gt;=90,"ผ่าน","ไม่ผ่าน"))</f>
        <v/>
      </c>
      <c r="L947" s="8">
        <f>IF(K947="ผ่าน",1,0)</f>
        <v/>
      </c>
      <c r="N947" s="7" t="n"/>
    </row>
    <row r="948">
      <c r="F948" s="7" t="n"/>
      <c r="G948" s="7" t="n"/>
      <c r="H948" s="8">
        <f>IF(OR(F948="",G948=""),"",MAX(0,ROUND((G948-F948)*1440,0)))</f>
        <v/>
      </c>
      <c r="I948" s="8">
        <f>IF(F948="","ไม่ครบ","ครบ")</f>
        <v/>
      </c>
      <c r="J948" s="8">
        <f>IF(G948="","ไม่ครบ","ครบ")</f>
        <v/>
      </c>
      <c r="K948" s="8">
        <f>IF(OR(F948="",G948=""),"ไม่ผ่าน",IF(H948&gt;=90,"ผ่าน","ไม่ผ่าน"))</f>
        <v/>
      </c>
      <c r="L948" s="8">
        <f>IF(K948="ผ่าน",1,0)</f>
        <v/>
      </c>
      <c r="N948" s="7" t="n"/>
    </row>
    <row r="949">
      <c r="F949" s="7" t="n"/>
      <c r="G949" s="7" t="n"/>
      <c r="H949" s="8">
        <f>IF(OR(F949="",G949=""),"",MAX(0,ROUND((G949-F949)*1440,0)))</f>
        <v/>
      </c>
      <c r="I949" s="8">
        <f>IF(F949="","ไม่ครบ","ครบ")</f>
        <v/>
      </c>
      <c r="J949" s="8">
        <f>IF(G949="","ไม่ครบ","ครบ")</f>
        <v/>
      </c>
      <c r="K949" s="8">
        <f>IF(OR(F949="",G949=""),"ไม่ผ่าน",IF(H949&gt;=90,"ผ่าน","ไม่ผ่าน"))</f>
        <v/>
      </c>
      <c r="L949" s="8">
        <f>IF(K949="ผ่าน",1,0)</f>
        <v/>
      </c>
      <c r="N949" s="7" t="n"/>
    </row>
    <row r="950">
      <c r="F950" s="7" t="n"/>
      <c r="G950" s="7" t="n"/>
      <c r="H950" s="8">
        <f>IF(OR(F950="",G950=""),"",MAX(0,ROUND((G950-F950)*1440,0)))</f>
        <v/>
      </c>
      <c r="I950" s="8">
        <f>IF(F950="","ไม่ครบ","ครบ")</f>
        <v/>
      </c>
      <c r="J950" s="8">
        <f>IF(G950="","ไม่ครบ","ครบ")</f>
        <v/>
      </c>
      <c r="K950" s="8">
        <f>IF(OR(F950="",G950=""),"ไม่ผ่าน",IF(H950&gt;=90,"ผ่าน","ไม่ผ่าน"))</f>
        <v/>
      </c>
      <c r="L950" s="8">
        <f>IF(K950="ผ่าน",1,0)</f>
        <v/>
      </c>
      <c r="N950" s="7" t="n"/>
    </row>
    <row r="951">
      <c r="F951" s="7" t="n"/>
      <c r="G951" s="7" t="n"/>
      <c r="H951" s="8">
        <f>IF(OR(F951="",G951=""),"",MAX(0,ROUND((G951-F951)*1440,0)))</f>
        <v/>
      </c>
      <c r="I951" s="8">
        <f>IF(F951="","ไม่ครบ","ครบ")</f>
        <v/>
      </c>
      <c r="J951" s="8">
        <f>IF(G951="","ไม่ครบ","ครบ")</f>
        <v/>
      </c>
      <c r="K951" s="8">
        <f>IF(OR(F951="",G951=""),"ไม่ผ่าน",IF(H951&gt;=90,"ผ่าน","ไม่ผ่าน"))</f>
        <v/>
      </c>
      <c r="L951" s="8">
        <f>IF(K951="ผ่าน",1,0)</f>
        <v/>
      </c>
      <c r="N951" s="7" t="n"/>
    </row>
    <row r="952">
      <c r="F952" s="7" t="n"/>
      <c r="G952" s="7" t="n"/>
      <c r="H952" s="8">
        <f>IF(OR(F952="",G952=""),"",MAX(0,ROUND((G952-F952)*1440,0)))</f>
        <v/>
      </c>
      <c r="I952" s="8">
        <f>IF(F952="","ไม่ครบ","ครบ")</f>
        <v/>
      </c>
      <c r="J952" s="8">
        <f>IF(G952="","ไม่ครบ","ครบ")</f>
        <v/>
      </c>
      <c r="K952" s="8">
        <f>IF(OR(F952="",G952=""),"ไม่ผ่าน",IF(H952&gt;=90,"ผ่าน","ไม่ผ่าน"))</f>
        <v/>
      </c>
      <c r="L952" s="8">
        <f>IF(K952="ผ่าน",1,0)</f>
        <v/>
      </c>
      <c r="N952" s="7" t="n"/>
    </row>
    <row r="953">
      <c r="F953" s="7" t="n"/>
      <c r="G953" s="7" t="n"/>
      <c r="H953" s="8">
        <f>IF(OR(F953="",G953=""),"",MAX(0,ROUND((G953-F953)*1440,0)))</f>
        <v/>
      </c>
      <c r="I953" s="8">
        <f>IF(F953="","ไม่ครบ","ครบ")</f>
        <v/>
      </c>
      <c r="J953" s="8">
        <f>IF(G953="","ไม่ครบ","ครบ")</f>
        <v/>
      </c>
      <c r="K953" s="8">
        <f>IF(OR(F953="",G953=""),"ไม่ผ่าน",IF(H953&gt;=90,"ผ่าน","ไม่ผ่าน"))</f>
        <v/>
      </c>
      <c r="L953" s="8">
        <f>IF(K953="ผ่าน",1,0)</f>
        <v/>
      </c>
      <c r="N953" s="7" t="n"/>
    </row>
    <row r="954">
      <c r="F954" s="7" t="n"/>
      <c r="G954" s="7" t="n"/>
      <c r="H954" s="8">
        <f>IF(OR(F954="",G954=""),"",MAX(0,ROUND((G954-F954)*1440,0)))</f>
        <v/>
      </c>
      <c r="I954" s="8">
        <f>IF(F954="","ไม่ครบ","ครบ")</f>
        <v/>
      </c>
      <c r="J954" s="8">
        <f>IF(G954="","ไม่ครบ","ครบ")</f>
        <v/>
      </c>
      <c r="K954" s="8">
        <f>IF(OR(F954="",G954=""),"ไม่ผ่าน",IF(H954&gt;=90,"ผ่าน","ไม่ผ่าน"))</f>
        <v/>
      </c>
      <c r="L954" s="8">
        <f>IF(K954="ผ่าน",1,0)</f>
        <v/>
      </c>
      <c r="N954" s="7" t="n"/>
    </row>
    <row r="955">
      <c r="F955" s="7" t="n"/>
      <c r="G955" s="7" t="n"/>
      <c r="H955" s="8">
        <f>IF(OR(F955="",G955=""),"",MAX(0,ROUND((G955-F955)*1440,0)))</f>
        <v/>
      </c>
      <c r="I955" s="8">
        <f>IF(F955="","ไม่ครบ","ครบ")</f>
        <v/>
      </c>
      <c r="J955" s="8">
        <f>IF(G955="","ไม่ครบ","ครบ")</f>
        <v/>
      </c>
      <c r="K955" s="8">
        <f>IF(OR(F955="",G955=""),"ไม่ผ่าน",IF(H955&gt;=90,"ผ่าน","ไม่ผ่าน"))</f>
        <v/>
      </c>
      <c r="L955" s="8">
        <f>IF(K955="ผ่าน",1,0)</f>
        <v/>
      </c>
      <c r="N955" s="7" t="n"/>
    </row>
    <row r="956">
      <c r="F956" s="7" t="n"/>
      <c r="G956" s="7" t="n"/>
      <c r="H956" s="8">
        <f>IF(OR(F956="",G956=""),"",MAX(0,ROUND((G956-F956)*1440,0)))</f>
        <v/>
      </c>
      <c r="I956" s="8">
        <f>IF(F956="","ไม่ครบ","ครบ")</f>
        <v/>
      </c>
      <c r="J956" s="8">
        <f>IF(G956="","ไม่ครบ","ครบ")</f>
        <v/>
      </c>
      <c r="K956" s="8">
        <f>IF(OR(F956="",G956=""),"ไม่ผ่าน",IF(H956&gt;=90,"ผ่าน","ไม่ผ่าน"))</f>
        <v/>
      </c>
      <c r="L956" s="8">
        <f>IF(K956="ผ่าน",1,0)</f>
        <v/>
      </c>
      <c r="N956" s="7" t="n"/>
    </row>
    <row r="957">
      <c r="F957" s="7" t="n"/>
      <c r="G957" s="7" t="n"/>
      <c r="H957" s="8">
        <f>IF(OR(F957="",G957=""),"",MAX(0,ROUND((G957-F957)*1440,0)))</f>
        <v/>
      </c>
      <c r="I957" s="8">
        <f>IF(F957="","ไม่ครบ","ครบ")</f>
        <v/>
      </c>
      <c r="J957" s="8">
        <f>IF(G957="","ไม่ครบ","ครบ")</f>
        <v/>
      </c>
      <c r="K957" s="8">
        <f>IF(OR(F957="",G957=""),"ไม่ผ่าน",IF(H957&gt;=90,"ผ่าน","ไม่ผ่าน"))</f>
        <v/>
      </c>
      <c r="L957" s="8">
        <f>IF(K957="ผ่าน",1,0)</f>
        <v/>
      </c>
      <c r="N957" s="7" t="n"/>
    </row>
    <row r="958">
      <c r="F958" s="7" t="n"/>
      <c r="G958" s="7" t="n"/>
      <c r="H958" s="8">
        <f>IF(OR(F958="",G958=""),"",MAX(0,ROUND((G958-F958)*1440,0)))</f>
        <v/>
      </c>
      <c r="I958" s="8">
        <f>IF(F958="","ไม่ครบ","ครบ")</f>
        <v/>
      </c>
      <c r="J958" s="8">
        <f>IF(G958="","ไม่ครบ","ครบ")</f>
        <v/>
      </c>
      <c r="K958" s="8">
        <f>IF(OR(F958="",G958=""),"ไม่ผ่าน",IF(H958&gt;=90,"ผ่าน","ไม่ผ่าน"))</f>
        <v/>
      </c>
      <c r="L958" s="8">
        <f>IF(K958="ผ่าน",1,0)</f>
        <v/>
      </c>
      <c r="N958" s="7" t="n"/>
    </row>
    <row r="959">
      <c r="F959" s="7" t="n"/>
      <c r="G959" s="7" t="n"/>
      <c r="H959" s="8">
        <f>IF(OR(F959="",G959=""),"",MAX(0,ROUND((G959-F959)*1440,0)))</f>
        <v/>
      </c>
      <c r="I959" s="8">
        <f>IF(F959="","ไม่ครบ","ครบ")</f>
        <v/>
      </c>
      <c r="J959" s="8">
        <f>IF(G959="","ไม่ครบ","ครบ")</f>
        <v/>
      </c>
      <c r="K959" s="8">
        <f>IF(OR(F959="",G959=""),"ไม่ผ่าน",IF(H959&gt;=90,"ผ่าน","ไม่ผ่าน"))</f>
        <v/>
      </c>
      <c r="L959" s="8">
        <f>IF(K959="ผ่าน",1,0)</f>
        <v/>
      </c>
      <c r="N959" s="7" t="n"/>
    </row>
    <row r="960">
      <c r="F960" s="7" t="n"/>
      <c r="G960" s="7" t="n"/>
      <c r="H960" s="8">
        <f>IF(OR(F960="",G960=""),"",MAX(0,ROUND((G960-F960)*1440,0)))</f>
        <v/>
      </c>
      <c r="I960" s="8">
        <f>IF(F960="","ไม่ครบ","ครบ")</f>
        <v/>
      </c>
      <c r="J960" s="8">
        <f>IF(G960="","ไม่ครบ","ครบ")</f>
        <v/>
      </c>
      <c r="K960" s="8">
        <f>IF(OR(F960="",G960=""),"ไม่ผ่าน",IF(H960&gt;=90,"ผ่าน","ไม่ผ่าน"))</f>
        <v/>
      </c>
      <c r="L960" s="8">
        <f>IF(K960="ผ่าน",1,0)</f>
        <v/>
      </c>
      <c r="N960" s="7" t="n"/>
    </row>
    <row r="961">
      <c r="F961" s="7" t="n"/>
      <c r="G961" s="7" t="n"/>
      <c r="H961" s="8">
        <f>IF(OR(F961="",G961=""),"",MAX(0,ROUND((G961-F961)*1440,0)))</f>
        <v/>
      </c>
      <c r="I961" s="8">
        <f>IF(F961="","ไม่ครบ","ครบ")</f>
        <v/>
      </c>
      <c r="J961" s="8">
        <f>IF(G961="","ไม่ครบ","ครบ")</f>
        <v/>
      </c>
      <c r="K961" s="8">
        <f>IF(OR(F961="",G961=""),"ไม่ผ่าน",IF(H961&gt;=90,"ผ่าน","ไม่ผ่าน"))</f>
        <v/>
      </c>
      <c r="L961" s="8">
        <f>IF(K961="ผ่าน",1,0)</f>
        <v/>
      </c>
      <c r="N961" s="7" t="n"/>
    </row>
    <row r="962">
      <c r="F962" s="7" t="n"/>
      <c r="G962" s="7" t="n"/>
      <c r="H962" s="8">
        <f>IF(OR(F962="",G962=""),"",MAX(0,ROUND((G962-F962)*1440,0)))</f>
        <v/>
      </c>
      <c r="I962" s="8">
        <f>IF(F962="","ไม่ครบ","ครบ")</f>
        <v/>
      </c>
      <c r="J962" s="8">
        <f>IF(G962="","ไม่ครบ","ครบ")</f>
        <v/>
      </c>
      <c r="K962" s="8">
        <f>IF(OR(F962="",G962=""),"ไม่ผ่าน",IF(H962&gt;=90,"ผ่าน","ไม่ผ่าน"))</f>
        <v/>
      </c>
      <c r="L962" s="8">
        <f>IF(K962="ผ่าน",1,0)</f>
        <v/>
      </c>
      <c r="N962" s="7" t="n"/>
    </row>
    <row r="963">
      <c r="F963" s="7" t="n"/>
      <c r="G963" s="7" t="n"/>
      <c r="H963" s="8">
        <f>IF(OR(F963="",G963=""),"",MAX(0,ROUND((G963-F963)*1440,0)))</f>
        <v/>
      </c>
      <c r="I963" s="8">
        <f>IF(F963="","ไม่ครบ","ครบ")</f>
        <v/>
      </c>
      <c r="J963" s="8">
        <f>IF(G963="","ไม่ครบ","ครบ")</f>
        <v/>
      </c>
      <c r="K963" s="8">
        <f>IF(OR(F963="",G963=""),"ไม่ผ่าน",IF(H963&gt;=90,"ผ่าน","ไม่ผ่าน"))</f>
        <v/>
      </c>
      <c r="L963" s="8">
        <f>IF(K963="ผ่าน",1,0)</f>
        <v/>
      </c>
      <c r="N963" s="7" t="n"/>
    </row>
    <row r="964">
      <c r="F964" s="7" t="n"/>
      <c r="G964" s="7" t="n"/>
      <c r="H964" s="8">
        <f>IF(OR(F964="",G964=""),"",MAX(0,ROUND((G964-F964)*1440,0)))</f>
        <v/>
      </c>
      <c r="I964" s="8">
        <f>IF(F964="","ไม่ครบ","ครบ")</f>
        <v/>
      </c>
      <c r="J964" s="8">
        <f>IF(G964="","ไม่ครบ","ครบ")</f>
        <v/>
      </c>
      <c r="K964" s="8">
        <f>IF(OR(F964="",G964=""),"ไม่ผ่าน",IF(H964&gt;=90,"ผ่าน","ไม่ผ่าน"))</f>
        <v/>
      </c>
      <c r="L964" s="8">
        <f>IF(K964="ผ่าน",1,0)</f>
        <v/>
      </c>
      <c r="N964" s="7" t="n"/>
    </row>
    <row r="965">
      <c r="F965" s="7" t="n"/>
      <c r="G965" s="7" t="n"/>
      <c r="H965" s="8">
        <f>IF(OR(F965="",G965=""),"",MAX(0,ROUND((G965-F965)*1440,0)))</f>
        <v/>
      </c>
      <c r="I965" s="8">
        <f>IF(F965="","ไม่ครบ","ครบ")</f>
        <v/>
      </c>
      <c r="J965" s="8">
        <f>IF(G965="","ไม่ครบ","ครบ")</f>
        <v/>
      </c>
      <c r="K965" s="8">
        <f>IF(OR(F965="",G965=""),"ไม่ผ่าน",IF(H965&gt;=90,"ผ่าน","ไม่ผ่าน"))</f>
        <v/>
      </c>
      <c r="L965" s="8">
        <f>IF(K965="ผ่าน",1,0)</f>
        <v/>
      </c>
      <c r="N965" s="7" t="n"/>
    </row>
    <row r="966">
      <c r="F966" s="7" t="n"/>
      <c r="G966" s="7" t="n"/>
      <c r="H966" s="8">
        <f>IF(OR(F966="",G966=""),"",MAX(0,ROUND((G966-F966)*1440,0)))</f>
        <v/>
      </c>
      <c r="I966" s="8">
        <f>IF(F966="","ไม่ครบ","ครบ")</f>
        <v/>
      </c>
      <c r="J966" s="8">
        <f>IF(G966="","ไม่ครบ","ครบ")</f>
        <v/>
      </c>
      <c r="K966" s="8">
        <f>IF(OR(F966="",G966=""),"ไม่ผ่าน",IF(H966&gt;=90,"ผ่าน","ไม่ผ่าน"))</f>
        <v/>
      </c>
      <c r="L966" s="8">
        <f>IF(K966="ผ่าน",1,0)</f>
        <v/>
      </c>
      <c r="N966" s="7" t="n"/>
    </row>
    <row r="967">
      <c r="F967" s="7" t="n"/>
      <c r="G967" s="7" t="n"/>
      <c r="H967" s="8">
        <f>IF(OR(F967="",G967=""),"",MAX(0,ROUND((G967-F967)*1440,0)))</f>
        <v/>
      </c>
      <c r="I967" s="8">
        <f>IF(F967="","ไม่ครบ","ครบ")</f>
        <v/>
      </c>
      <c r="J967" s="8">
        <f>IF(G967="","ไม่ครบ","ครบ")</f>
        <v/>
      </c>
      <c r="K967" s="8">
        <f>IF(OR(F967="",G967=""),"ไม่ผ่าน",IF(H967&gt;=90,"ผ่าน","ไม่ผ่าน"))</f>
        <v/>
      </c>
      <c r="L967" s="8">
        <f>IF(K967="ผ่าน",1,0)</f>
        <v/>
      </c>
      <c r="N967" s="7" t="n"/>
    </row>
    <row r="968">
      <c r="F968" s="7" t="n"/>
      <c r="G968" s="7" t="n"/>
      <c r="H968" s="8">
        <f>IF(OR(F968="",G968=""),"",MAX(0,ROUND((G968-F968)*1440,0)))</f>
        <v/>
      </c>
      <c r="I968" s="8">
        <f>IF(F968="","ไม่ครบ","ครบ")</f>
        <v/>
      </c>
      <c r="J968" s="8">
        <f>IF(G968="","ไม่ครบ","ครบ")</f>
        <v/>
      </c>
      <c r="K968" s="8">
        <f>IF(OR(F968="",G968=""),"ไม่ผ่าน",IF(H968&gt;=90,"ผ่าน","ไม่ผ่าน"))</f>
        <v/>
      </c>
      <c r="L968" s="8">
        <f>IF(K968="ผ่าน",1,0)</f>
        <v/>
      </c>
      <c r="N968" s="7" t="n"/>
    </row>
    <row r="969">
      <c r="F969" s="7" t="n"/>
      <c r="G969" s="7" t="n"/>
      <c r="H969" s="8">
        <f>IF(OR(F969="",G969=""),"",MAX(0,ROUND((G969-F969)*1440,0)))</f>
        <v/>
      </c>
      <c r="I969" s="8">
        <f>IF(F969="","ไม่ครบ","ครบ")</f>
        <v/>
      </c>
      <c r="J969" s="8">
        <f>IF(G969="","ไม่ครบ","ครบ")</f>
        <v/>
      </c>
      <c r="K969" s="8">
        <f>IF(OR(F969="",G969=""),"ไม่ผ่าน",IF(H969&gt;=90,"ผ่าน","ไม่ผ่าน"))</f>
        <v/>
      </c>
      <c r="L969" s="8">
        <f>IF(K969="ผ่าน",1,0)</f>
        <v/>
      </c>
      <c r="N969" s="7" t="n"/>
    </row>
    <row r="970">
      <c r="F970" s="7" t="n"/>
      <c r="G970" s="7" t="n"/>
      <c r="H970" s="8">
        <f>IF(OR(F970="",G970=""),"",MAX(0,ROUND((G970-F970)*1440,0)))</f>
        <v/>
      </c>
      <c r="I970" s="8">
        <f>IF(F970="","ไม่ครบ","ครบ")</f>
        <v/>
      </c>
      <c r="J970" s="8">
        <f>IF(G970="","ไม่ครบ","ครบ")</f>
        <v/>
      </c>
      <c r="K970" s="8">
        <f>IF(OR(F970="",G970=""),"ไม่ผ่าน",IF(H970&gt;=90,"ผ่าน","ไม่ผ่าน"))</f>
        <v/>
      </c>
      <c r="L970" s="8">
        <f>IF(K970="ผ่าน",1,0)</f>
        <v/>
      </c>
      <c r="N970" s="7" t="n"/>
    </row>
    <row r="971">
      <c r="F971" s="7" t="n"/>
      <c r="G971" s="7" t="n"/>
      <c r="H971" s="8">
        <f>IF(OR(F971="",G971=""),"",MAX(0,ROUND((G971-F971)*1440,0)))</f>
        <v/>
      </c>
      <c r="I971" s="8">
        <f>IF(F971="","ไม่ครบ","ครบ")</f>
        <v/>
      </c>
      <c r="J971" s="8">
        <f>IF(G971="","ไม่ครบ","ครบ")</f>
        <v/>
      </c>
      <c r="K971" s="8">
        <f>IF(OR(F971="",G971=""),"ไม่ผ่าน",IF(H971&gt;=90,"ผ่าน","ไม่ผ่าน"))</f>
        <v/>
      </c>
      <c r="L971" s="8">
        <f>IF(K971="ผ่าน",1,0)</f>
        <v/>
      </c>
      <c r="N971" s="7" t="n"/>
    </row>
    <row r="972">
      <c r="F972" s="7" t="n"/>
      <c r="G972" s="7" t="n"/>
      <c r="H972" s="8">
        <f>IF(OR(F972="",G972=""),"",MAX(0,ROUND((G972-F972)*1440,0)))</f>
        <v/>
      </c>
      <c r="I972" s="8">
        <f>IF(F972="","ไม่ครบ","ครบ")</f>
        <v/>
      </c>
      <c r="J972" s="8">
        <f>IF(G972="","ไม่ครบ","ครบ")</f>
        <v/>
      </c>
      <c r="K972" s="8">
        <f>IF(OR(F972="",G972=""),"ไม่ผ่าน",IF(H972&gt;=90,"ผ่าน","ไม่ผ่าน"))</f>
        <v/>
      </c>
      <c r="L972" s="8">
        <f>IF(K972="ผ่าน",1,0)</f>
        <v/>
      </c>
      <c r="N972" s="7" t="n"/>
    </row>
    <row r="973">
      <c r="F973" s="7" t="n"/>
      <c r="G973" s="7" t="n"/>
      <c r="H973" s="8">
        <f>IF(OR(F973="",G973=""),"",MAX(0,ROUND((G973-F973)*1440,0)))</f>
        <v/>
      </c>
      <c r="I973" s="8">
        <f>IF(F973="","ไม่ครบ","ครบ")</f>
        <v/>
      </c>
      <c r="J973" s="8">
        <f>IF(G973="","ไม่ครบ","ครบ")</f>
        <v/>
      </c>
      <c r="K973" s="8">
        <f>IF(OR(F973="",G973=""),"ไม่ผ่าน",IF(H973&gt;=90,"ผ่าน","ไม่ผ่าน"))</f>
        <v/>
      </c>
      <c r="L973" s="8">
        <f>IF(K973="ผ่าน",1,0)</f>
        <v/>
      </c>
      <c r="N973" s="7" t="n"/>
    </row>
    <row r="974">
      <c r="F974" s="7" t="n"/>
      <c r="G974" s="7" t="n"/>
      <c r="H974" s="8">
        <f>IF(OR(F974="",G974=""),"",MAX(0,ROUND((G974-F974)*1440,0)))</f>
        <v/>
      </c>
      <c r="I974" s="8">
        <f>IF(F974="","ไม่ครบ","ครบ")</f>
        <v/>
      </c>
      <c r="J974" s="8">
        <f>IF(G974="","ไม่ครบ","ครบ")</f>
        <v/>
      </c>
      <c r="K974" s="8">
        <f>IF(OR(F974="",G974=""),"ไม่ผ่าน",IF(H974&gt;=90,"ผ่าน","ไม่ผ่าน"))</f>
        <v/>
      </c>
      <c r="L974" s="8">
        <f>IF(K974="ผ่าน",1,0)</f>
        <v/>
      </c>
      <c r="N974" s="7" t="n"/>
    </row>
    <row r="975">
      <c r="F975" s="7" t="n"/>
      <c r="G975" s="7" t="n"/>
      <c r="H975" s="8">
        <f>IF(OR(F975="",G975=""),"",MAX(0,ROUND((G975-F975)*1440,0)))</f>
        <v/>
      </c>
      <c r="I975" s="8">
        <f>IF(F975="","ไม่ครบ","ครบ")</f>
        <v/>
      </c>
      <c r="J975" s="8">
        <f>IF(G975="","ไม่ครบ","ครบ")</f>
        <v/>
      </c>
      <c r="K975" s="8">
        <f>IF(OR(F975="",G975=""),"ไม่ผ่าน",IF(H975&gt;=90,"ผ่าน","ไม่ผ่าน"))</f>
        <v/>
      </c>
      <c r="L975" s="8">
        <f>IF(K975="ผ่าน",1,0)</f>
        <v/>
      </c>
      <c r="N975" s="7" t="n"/>
    </row>
    <row r="976">
      <c r="F976" s="7" t="n"/>
      <c r="G976" s="7" t="n"/>
      <c r="H976" s="8">
        <f>IF(OR(F976="",G976=""),"",MAX(0,ROUND((G976-F976)*1440,0)))</f>
        <v/>
      </c>
      <c r="I976" s="8">
        <f>IF(F976="","ไม่ครบ","ครบ")</f>
        <v/>
      </c>
      <c r="J976" s="8">
        <f>IF(G976="","ไม่ครบ","ครบ")</f>
        <v/>
      </c>
      <c r="K976" s="8">
        <f>IF(OR(F976="",G976=""),"ไม่ผ่าน",IF(H976&gt;=90,"ผ่าน","ไม่ผ่าน"))</f>
        <v/>
      </c>
      <c r="L976" s="8">
        <f>IF(K976="ผ่าน",1,0)</f>
        <v/>
      </c>
      <c r="N976" s="7" t="n"/>
    </row>
    <row r="977">
      <c r="F977" s="7" t="n"/>
      <c r="G977" s="7" t="n"/>
      <c r="H977" s="8">
        <f>IF(OR(F977="",G977=""),"",MAX(0,ROUND((G977-F977)*1440,0)))</f>
        <v/>
      </c>
      <c r="I977" s="8">
        <f>IF(F977="","ไม่ครบ","ครบ")</f>
        <v/>
      </c>
      <c r="J977" s="8">
        <f>IF(G977="","ไม่ครบ","ครบ")</f>
        <v/>
      </c>
      <c r="K977" s="8">
        <f>IF(OR(F977="",G977=""),"ไม่ผ่าน",IF(H977&gt;=90,"ผ่าน","ไม่ผ่าน"))</f>
        <v/>
      </c>
      <c r="L977" s="8">
        <f>IF(K977="ผ่าน",1,0)</f>
        <v/>
      </c>
      <c r="N977" s="7" t="n"/>
    </row>
    <row r="978">
      <c r="F978" s="7" t="n"/>
      <c r="G978" s="7" t="n"/>
      <c r="H978" s="8">
        <f>IF(OR(F978="",G978=""),"",MAX(0,ROUND((G978-F978)*1440,0)))</f>
        <v/>
      </c>
      <c r="I978" s="8">
        <f>IF(F978="","ไม่ครบ","ครบ")</f>
        <v/>
      </c>
      <c r="J978" s="8">
        <f>IF(G978="","ไม่ครบ","ครบ")</f>
        <v/>
      </c>
      <c r="K978" s="8">
        <f>IF(OR(F978="",G978=""),"ไม่ผ่าน",IF(H978&gt;=90,"ผ่าน","ไม่ผ่าน"))</f>
        <v/>
      </c>
      <c r="L978" s="8">
        <f>IF(K978="ผ่าน",1,0)</f>
        <v/>
      </c>
      <c r="N978" s="7" t="n"/>
    </row>
    <row r="979">
      <c r="F979" s="7" t="n"/>
      <c r="G979" s="7" t="n"/>
      <c r="H979" s="8">
        <f>IF(OR(F979="",G979=""),"",MAX(0,ROUND((G979-F979)*1440,0)))</f>
        <v/>
      </c>
      <c r="I979" s="8">
        <f>IF(F979="","ไม่ครบ","ครบ")</f>
        <v/>
      </c>
      <c r="J979" s="8">
        <f>IF(G979="","ไม่ครบ","ครบ")</f>
        <v/>
      </c>
      <c r="K979" s="8">
        <f>IF(OR(F979="",G979=""),"ไม่ผ่าน",IF(H979&gt;=90,"ผ่าน","ไม่ผ่าน"))</f>
        <v/>
      </c>
      <c r="L979" s="8">
        <f>IF(K979="ผ่าน",1,0)</f>
        <v/>
      </c>
      <c r="N979" s="7" t="n"/>
    </row>
    <row r="980">
      <c r="F980" s="7" t="n"/>
      <c r="G980" s="7" t="n"/>
      <c r="H980" s="8">
        <f>IF(OR(F980="",G980=""),"",MAX(0,ROUND((G980-F980)*1440,0)))</f>
        <v/>
      </c>
      <c r="I980" s="8">
        <f>IF(F980="","ไม่ครบ","ครบ")</f>
        <v/>
      </c>
      <c r="J980" s="8">
        <f>IF(G980="","ไม่ครบ","ครบ")</f>
        <v/>
      </c>
      <c r="K980" s="8">
        <f>IF(OR(F980="",G980=""),"ไม่ผ่าน",IF(H980&gt;=90,"ผ่าน","ไม่ผ่าน"))</f>
        <v/>
      </c>
      <c r="L980" s="8">
        <f>IF(K980="ผ่าน",1,0)</f>
        <v/>
      </c>
      <c r="N980" s="7" t="n"/>
    </row>
    <row r="981">
      <c r="F981" s="7" t="n"/>
      <c r="G981" s="7" t="n"/>
      <c r="H981" s="8">
        <f>IF(OR(F981="",G981=""),"",MAX(0,ROUND((G981-F981)*1440,0)))</f>
        <v/>
      </c>
      <c r="I981" s="8">
        <f>IF(F981="","ไม่ครบ","ครบ")</f>
        <v/>
      </c>
      <c r="J981" s="8">
        <f>IF(G981="","ไม่ครบ","ครบ")</f>
        <v/>
      </c>
      <c r="K981" s="8">
        <f>IF(OR(F981="",G981=""),"ไม่ผ่าน",IF(H981&gt;=90,"ผ่าน","ไม่ผ่าน"))</f>
        <v/>
      </c>
      <c r="L981" s="8">
        <f>IF(K981="ผ่าน",1,0)</f>
        <v/>
      </c>
      <c r="N981" s="7" t="n"/>
    </row>
    <row r="982">
      <c r="F982" s="7" t="n"/>
      <c r="G982" s="7" t="n"/>
      <c r="H982" s="8">
        <f>IF(OR(F982="",G982=""),"",MAX(0,ROUND((G982-F982)*1440,0)))</f>
        <v/>
      </c>
      <c r="I982" s="8">
        <f>IF(F982="","ไม่ครบ","ครบ")</f>
        <v/>
      </c>
      <c r="J982" s="8">
        <f>IF(G982="","ไม่ครบ","ครบ")</f>
        <v/>
      </c>
      <c r="K982" s="8">
        <f>IF(OR(F982="",G982=""),"ไม่ผ่าน",IF(H982&gt;=90,"ผ่าน","ไม่ผ่าน"))</f>
        <v/>
      </c>
      <c r="L982" s="8">
        <f>IF(K982="ผ่าน",1,0)</f>
        <v/>
      </c>
      <c r="N982" s="7" t="n"/>
    </row>
    <row r="983">
      <c r="F983" s="7" t="n"/>
      <c r="G983" s="7" t="n"/>
      <c r="H983" s="8">
        <f>IF(OR(F983="",G983=""),"",MAX(0,ROUND((G983-F983)*1440,0)))</f>
        <v/>
      </c>
      <c r="I983" s="8">
        <f>IF(F983="","ไม่ครบ","ครบ")</f>
        <v/>
      </c>
      <c r="J983" s="8">
        <f>IF(G983="","ไม่ครบ","ครบ")</f>
        <v/>
      </c>
      <c r="K983" s="8">
        <f>IF(OR(F983="",G983=""),"ไม่ผ่าน",IF(H983&gt;=90,"ผ่าน","ไม่ผ่าน"))</f>
        <v/>
      </c>
      <c r="L983" s="8">
        <f>IF(K983="ผ่าน",1,0)</f>
        <v/>
      </c>
      <c r="N983" s="7" t="n"/>
    </row>
    <row r="984">
      <c r="F984" s="7" t="n"/>
      <c r="G984" s="7" t="n"/>
      <c r="H984" s="8">
        <f>IF(OR(F984="",G984=""),"",MAX(0,ROUND((G984-F984)*1440,0)))</f>
        <v/>
      </c>
      <c r="I984" s="8">
        <f>IF(F984="","ไม่ครบ","ครบ")</f>
        <v/>
      </c>
      <c r="J984" s="8">
        <f>IF(G984="","ไม่ครบ","ครบ")</f>
        <v/>
      </c>
      <c r="K984" s="8">
        <f>IF(OR(F984="",G984=""),"ไม่ผ่าน",IF(H984&gt;=90,"ผ่าน","ไม่ผ่าน"))</f>
        <v/>
      </c>
      <c r="L984" s="8">
        <f>IF(K984="ผ่าน",1,0)</f>
        <v/>
      </c>
      <c r="N984" s="7" t="n"/>
    </row>
    <row r="985">
      <c r="F985" s="7" t="n"/>
      <c r="G985" s="7" t="n"/>
      <c r="H985" s="8">
        <f>IF(OR(F985="",G985=""),"",MAX(0,ROUND((G985-F985)*1440,0)))</f>
        <v/>
      </c>
      <c r="I985" s="8">
        <f>IF(F985="","ไม่ครบ","ครบ")</f>
        <v/>
      </c>
      <c r="J985" s="8">
        <f>IF(G985="","ไม่ครบ","ครบ")</f>
        <v/>
      </c>
      <c r="K985" s="8">
        <f>IF(OR(F985="",G985=""),"ไม่ผ่าน",IF(H985&gt;=90,"ผ่าน","ไม่ผ่าน"))</f>
        <v/>
      </c>
      <c r="L985" s="8">
        <f>IF(K985="ผ่าน",1,0)</f>
        <v/>
      </c>
      <c r="N985" s="7" t="n"/>
    </row>
    <row r="986">
      <c r="F986" s="7" t="n"/>
      <c r="G986" s="7" t="n"/>
      <c r="H986" s="8">
        <f>IF(OR(F986="",G986=""),"",MAX(0,ROUND((G986-F986)*1440,0)))</f>
        <v/>
      </c>
      <c r="I986" s="8">
        <f>IF(F986="","ไม่ครบ","ครบ")</f>
        <v/>
      </c>
      <c r="J986" s="8">
        <f>IF(G986="","ไม่ครบ","ครบ")</f>
        <v/>
      </c>
      <c r="K986" s="8">
        <f>IF(OR(F986="",G986=""),"ไม่ผ่าน",IF(H986&gt;=90,"ผ่าน","ไม่ผ่าน"))</f>
        <v/>
      </c>
      <c r="L986" s="8">
        <f>IF(K986="ผ่าน",1,0)</f>
        <v/>
      </c>
      <c r="N986" s="7" t="n"/>
    </row>
    <row r="987">
      <c r="F987" s="7" t="n"/>
      <c r="G987" s="7" t="n"/>
      <c r="H987" s="8">
        <f>IF(OR(F987="",G987=""),"",MAX(0,ROUND((G987-F987)*1440,0)))</f>
        <v/>
      </c>
      <c r="I987" s="8">
        <f>IF(F987="","ไม่ครบ","ครบ")</f>
        <v/>
      </c>
      <c r="J987" s="8">
        <f>IF(G987="","ไม่ครบ","ครบ")</f>
        <v/>
      </c>
      <c r="K987" s="8">
        <f>IF(OR(F987="",G987=""),"ไม่ผ่าน",IF(H987&gt;=90,"ผ่าน","ไม่ผ่าน"))</f>
        <v/>
      </c>
      <c r="L987" s="8">
        <f>IF(K987="ผ่าน",1,0)</f>
        <v/>
      </c>
      <c r="N987" s="7" t="n"/>
    </row>
    <row r="988">
      <c r="F988" s="7" t="n"/>
      <c r="G988" s="7" t="n"/>
      <c r="H988" s="8">
        <f>IF(OR(F988="",G988=""),"",MAX(0,ROUND((G988-F988)*1440,0)))</f>
        <v/>
      </c>
      <c r="I988" s="8">
        <f>IF(F988="","ไม่ครบ","ครบ")</f>
        <v/>
      </c>
      <c r="J988" s="8">
        <f>IF(G988="","ไม่ครบ","ครบ")</f>
        <v/>
      </c>
      <c r="K988" s="8">
        <f>IF(OR(F988="",G988=""),"ไม่ผ่าน",IF(H988&gt;=90,"ผ่าน","ไม่ผ่าน"))</f>
        <v/>
      </c>
      <c r="L988" s="8">
        <f>IF(K988="ผ่าน",1,0)</f>
        <v/>
      </c>
      <c r="N988" s="7" t="n"/>
    </row>
    <row r="989">
      <c r="F989" s="7" t="n"/>
      <c r="G989" s="7" t="n"/>
      <c r="H989" s="8">
        <f>IF(OR(F989="",G989=""),"",MAX(0,ROUND((G989-F989)*1440,0)))</f>
        <v/>
      </c>
      <c r="I989" s="8">
        <f>IF(F989="","ไม่ครบ","ครบ")</f>
        <v/>
      </c>
      <c r="J989" s="8">
        <f>IF(G989="","ไม่ครบ","ครบ")</f>
        <v/>
      </c>
      <c r="K989" s="8">
        <f>IF(OR(F989="",G989=""),"ไม่ผ่าน",IF(H989&gt;=90,"ผ่าน","ไม่ผ่าน"))</f>
        <v/>
      </c>
      <c r="L989" s="8">
        <f>IF(K989="ผ่าน",1,0)</f>
        <v/>
      </c>
      <c r="N989" s="7" t="n"/>
    </row>
    <row r="990">
      <c r="F990" s="7" t="n"/>
      <c r="G990" s="7" t="n"/>
      <c r="H990" s="8">
        <f>IF(OR(F990="",G990=""),"",MAX(0,ROUND((G990-F990)*1440,0)))</f>
        <v/>
      </c>
      <c r="I990" s="8">
        <f>IF(F990="","ไม่ครบ","ครบ")</f>
        <v/>
      </c>
      <c r="J990" s="8">
        <f>IF(G990="","ไม่ครบ","ครบ")</f>
        <v/>
      </c>
      <c r="K990" s="8">
        <f>IF(OR(F990="",G990=""),"ไม่ผ่าน",IF(H990&gt;=90,"ผ่าน","ไม่ผ่าน"))</f>
        <v/>
      </c>
      <c r="L990" s="8">
        <f>IF(K990="ผ่าน",1,0)</f>
        <v/>
      </c>
      <c r="N990" s="7" t="n"/>
    </row>
    <row r="991">
      <c r="F991" s="7" t="n"/>
      <c r="G991" s="7" t="n"/>
      <c r="H991" s="8">
        <f>IF(OR(F991="",G991=""),"",MAX(0,ROUND((G991-F991)*1440,0)))</f>
        <v/>
      </c>
      <c r="I991" s="8">
        <f>IF(F991="","ไม่ครบ","ครบ")</f>
        <v/>
      </c>
      <c r="J991" s="8">
        <f>IF(G991="","ไม่ครบ","ครบ")</f>
        <v/>
      </c>
      <c r="K991" s="8">
        <f>IF(OR(F991="",G991=""),"ไม่ผ่าน",IF(H991&gt;=90,"ผ่าน","ไม่ผ่าน"))</f>
        <v/>
      </c>
      <c r="L991" s="8">
        <f>IF(K991="ผ่าน",1,0)</f>
        <v/>
      </c>
      <c r="N991" s="7" t="n"/>
    </row>
    <row r="992">
      <c r="F992" s="7" t="n"/>
      <c r="G992" s="7" t="n"/>
      <c r="H992" s="8">
        <f>IF(OR(F992="",G992=""),"",MAX(0,ROUND((G992-F992)*1440,0)))</f>
        <v/>
      </c>
      <c r="I992" s="8">
        <f>IF(F992="","ไม่ครบ","ครบ")</f>
        <v/>
      </c>
      <c r="J992" s="8">
        <f>IF(G992="","ไม่ครบ","ครบ")</f>
        <v/>
      </c>
      <c r="K992" s="8">
        <f>IF(OR(F992="",G992=""),"ไม่ผ่าน",IF(H992&gt;=90,"ผ่าน","ไม่ผ่าน"))</f>
        <v/>
      </c>
      <c r="L992" s="8">
        <f>IF(K992="ผ่าน",1,0)</f>
        <v/>
      </c>
      <c r="N992" s="7" t="n"/>
    </row>
    <row r="993">
      <c r="F993" s="7" t="n"/>
      <c r="G993" s="7" t="n"/>
      <c r="H993" s="8">
        <f>IF(OR(F993="",G993=""),"",MAX(0,ROUND((G993-F993)*1440,0)))</f>
        <v/>
      </c>
      <c r="I993" s="8">
        <f>IF(F993="","ไม่ครบ","ครบ")</f>
        <v/>
      </c>
      <c r="J993" s="8">
        <f>IF(G993="","ไม่ครบ","ครบ")</f>
        <v/>
      </c>
      <c r="K993" s="8">
        <f>IF(OR(F993="",G993=""),"ไม่ผ่าน",IF(H993&gt;=90,"ผ่าน","ไม่ผ่าน"))</f>
        <v/>
      </c>
      <c r="L993" s="8">
        <f>IF(K993="ผ่าน",1,0)</f>
        <v/>
      </c>
      <c r="N993" s="7" t="n"/>
    </row>
    <row r="994">
      <c r="F994" s="7" t="n"/>
      <c r="G994" s="7" t="n"/>
      <c r="H994" s="8">
        <f>IF(OR(F994="",G994=""),"",MAX(0,ROUND((G994-F994)*1440,0)))</f>
        <v/>
      </c>
      <c r="I994" s="8">
        <f>IF(F994="","ไม่ครบ","ครบ")</f>
        <v/>
      </c>
      <c r="J994" s="8">
        <f>IF(G994="","ไม่ครบ","ครบ")</f>
        <v/>
      </c>
      <c r="K994" s="8">
        <f>IF(OR(F994="",G994=""),"ไม่ผ่าน",IF(H994&gt;=90,"ผ่าน","ไม่ผ่าน"))</f>
        <v/>
      </c>
      <c r="L994" s="8">
        <f>IF(K994="ผ่าน",1,0)</f>
        <v/>
      </c>
      <c r="N994" s="7" t="n"/>
    </row>
    <row r="995">
      <c r="F995" s="7" t="n"/>
      <c r="G995" s="7" t="n"/>
      <c r="H995" s="8">
        <f>IF(OR(F995="",G995=""),"",MAX(0,ROUND((G995-F995)*1440,0)))</f>
        <v/>
      </c>
      <c r="I995" s="8">
        <f>IF(F995="","ไม่ครบ","ครบ")</f>
        <v/>
      </c>
      <c r="J995" s="8">
        <f>IF(G995="","ไม่ครบ","ครบ")</f>
        <v/>
      </c>
      <c r="K995" s="8">
        <f>IF(OR(F995="",G995=""),"ไม่ผ่าน",IF(H995&gt;=90,"ผ่าน","ไม่ผ่าน"))</f>
        <v/>
      </c>
      <c r="L995" s="8">
        <f>IF(K995="ผ่าน",1,0)</f>
        <v/>
      </c>
      <c r="N995" s="7" t="n"/>
    </row>
    <row r="996">
      <c r="F996" s="7" t="n"/>
      <c r="G996" s="7" t="n"/>
      <c r="H996" s="8">
        <f>IF(OR(F996="",G996=""),"",MAX(0,ROUND((G996-F996)*1440,0)))</f>
        <v/>
      </c>
      <c r="I996" s="8">
        <f>IF(F996="","ไม่ครบ","ครบ")</f>
        <v/>
      </c>
      <c r="J996" s="8">
        <f>IF(G996="","ไม่ครบ","ครบ")</f>
        <v/>
      </c>
      <c r="K996" s="8">
        <f>IF(OR(F996="",G996=""),"ไม่ผ่าน",IF(H996&gt;=90,"ผ่าน","ไม่ผ่าน"))</f>
        <v/>
      </c>
      <c r="L996" s="8">
        <f>IF(K996="ผ่าน",1,0)</f>
        <v/>
      </c>
      <c r="N996" s="7" t="n"/>
    </row>
    <row r="997">
      <c r="F997" s="7" t="n"/>
      <c r="G997" s="7" t="n"/>
      <c r="H997" s="8">
        <f>IF(OR(F997="",G997=""),"",MAX(0,ROUND((G997-F997)*1440,0)))</f>
        <v/>
      </c>
      <c r="I997" s="8">
        <f>IF(F997="","ไม่ครบ","ครบ")</f>
        <v/>
      </c>
      <c r="J997" s="8">
        <f>IF(G997="","ไม่ครบ","ครบ")</f>
        <v/>
      </c>
      <c r="K997" s="8">
        <f>IF(OR(F997="",G997=""),"ไม่ผ่าน",IF(H997&gt;=90,"ผ่าน","ไม่ผ่าน"))</f>
        <v/>
      </c>
      <c r="L997" s="8">
        <f>IF(K997="ผ่าน",1,0)</f>
        <v/>
      </c>
      <c r="N997" s="7" t="n"/>
    </row>
    <row r="998">
      <c r="F998" s="7" t="n"/>
      <c r="G998" s="7" t="n"/>
      <c r="H998" s="8">
        <f>IF(OR(F998="",G998=""),"",MAX(0,ROUND((G998-F998)*1440,0)))</f>
        <v/>
      </c>
      <c r="I998" s="8">
        <f>IF(F998="","ไม่ครบ","ครบ")</f>
        <v/>
      </c>
      <c r="J998" s="8">
        <f>IF(G998="","ไม่ครบ","ครบ")</f>
        <v/>
      </c>
      <c r="K998" s="8">
        <f>IF(OR(F998="",G998=""),"ไม่ผ่าน",IF(H998&gt;=90,"ผ่าน","ไม่ผ่าน"))</f>
        <v/>
      </c>
      <c r="L998" s="8">
        <f>IF(K998="ผ่าน",1,0)</f>
        <v/>
      </c>
      <c r="N998" s="7" t="n"/>
    </row>
    <row r="999">
      <c r="F999" s="7" t="n"/>
      <c r="G999" s="7" t="n"/>
      <c r="H999" s="8">
        <f>IF(OR(F999="",G999=""),"",MAX(0,ROUND((G999-F999)*1440,0)))</f>
        <v/>
      </c>
      <c r="I999" s="8">
        <f>IF(F999="","ไม่ครบ","ครบ")</f>
        <v/>
      </c>
      <c r="J999" s="8">
        <f>IF(G999="","ไม่ครบ","ครบ")</f>
        <v/>
      </c>
      <c r="K999" s="8">
        <f>IF(OR(F999="",G999=""),"ไม่ผ่าน",IF(H999&gt;=90,"ผ่าน","ไม่ผ่าน"))</f>
        <v/>
      </c>
      <c r="L999" s="8">
        <f>IF(K999="ผ่าน",1,0)</f>
        <v/>
      </c>
      <c r="N999" s="7" t="n"/>
    </row>
    <row r="1000">
      <c r="F1000" s="7" t="n"/>
      <c r="G1000" s="7" t="n"/>
      <c r="H1000" s="8">
        <f>IF(OR(F1000="",G1000=""),"",MAX(0,ROUND((G1000-F1000)*1440,0)))</f>
        <v/>
      </c>
      <c r="I1000" s="8">
        <f>IF(F1000="","ไม่ครบ","ครบ")</f>
        <v/>
      </c>
      <c r="J1000" s="8">
        <f>IF(G1000="","ไม่ครบ","ครบ")</f>
        <v/>
      </c>
      <c r="K1000" s="8">
        <f>IF(OR(F1000="",G1000=""),"ไม่ผ่าน",IF(H1000&gt;=90,"ผ่าน","ไม่ผ่าน"))</f>
        <v/>
      </c>
      <c r="L1000" s="8">
        <f>IF(K1000="ผ่าน",1,0)</f>
        <v/>
      </c>
      <c r="N1000" s="7" t="n"/>
    </row>
    <row r="1001">
      <c r="F1001" s="7" t="n"/>
      <c r="G1001" s="7" t="n"/>
      <c r="H1001" s="8">
        <f>IF(OR(F1001="",G1001=""),"",MAX(0,ROUND((G1001-F1001)*1440,0)))</f>
        <v/>
      </c>
      <c r="I1001" s="8">
        <f>IF(F1001="","ไม่ครบ","ครบ")</f>
        <v/>
      </c>
      <c r="J1001" s="8">
        <f>IF(G1001="","ไม่ครบ","ครบ")</f>
        <v/>
      </c>
      <c r="K1001" s="8">
        <f>IF(OR(F1001="",G1001=""),"ไม่ผ่าน",IF(H1001&gt;=90,"ผ่าน","ไม่ผ่าน"))</f>
        <v/>
      </c>
      <c r="L1001" s="8">
        <f>IF(K1001="ผ่าน",1,0)</f>
        <v/>
      </c>
      <c r="N1001" s="7" t="n"/>
    </row>
  </sheetData>
  <autoFilter ref="A1:P1001"/>
  <conditionalFormatting sqref="K2:K1001">
    <cfRule type="cellIs" priority="1" operator="equal" dxfId="0">
      <formula>"ผ่าน"</formula>
    </cfRule>
    <cfRule type="cellIs" priority="2" operator="equal" dxfId="1">
      <formula>"ไม่ผ่าน"</formula>
    </cfRule>
  </conditionalFormatting>
  <dataValidations count="1">
    <dataValidation sqref="O2:O1001" showDropDown="0" showInputMessage="0" showErrorMessage="0" allowBlank="1" type="list">
      <formula1>"รอตรวจสอบ,อนุมัติ,ไม่อนุมัติ,นำเข้าระบบแล้ว"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M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8" customWidth="1" min="4" max="4"/>
    <col width="30" customWidth="1" min="5" max="5"/>
    <col width="16" customWidth="1" min="6" max="6"/>
    <col width="40" customWidth="1" min="7" max="7"/>
    <col width="18" customWidth="1" min="8" max="8"/>
    <col width="24" customWidth="1" min="9" max="9"/>
    <col width="18" customWidth="1" min="10" max="10"/>
    <col width="24" customWidth="1" min="11" max="11"/>
    <col width="18" customWidth="1" min="12" max="12"/>
    <col width="35" customWidth="1" min="13" max="13"/>
  </cols>
  <sheetData>
    <row r="1" ht="32" customHeight="1">
      <c r="A1" s="4" t="inlineStr">
        <is>
          <t>Request_ID</t>
        </is>
      </c>
      <c r="B1" s="4" t="inlineStr">
        <is>
          <t>ปีการศึกษา</t>
        </is>
      </c>
      <c r="C1" s="4" t="inlineStr">
        <is>
          <t>รหัสนักศึกษา</t>
        </is>
      </c>
      <c r="D1" s="4" t="inlineStr">
        <is>
          <t>ชื่อ-สกุล</t>
        </is>
      </c>
      <c r="E1" s="4" t="inlineStr">
        <is>
          <t>Activity/งานช่วยเหลือ</t>
        </is>
      </c>
      <c r="F1" s="4" t="inlineStr">
        <is>
          <t>วันที่ช่วยงาน</t>
        </is>
      </c>
      <c r="G1" s="4" t="inlineStr">
        <is>
          <t>รายละเอียด/หลักฐาน</t>
        </is>
      </c>
      <c r="H1" s="4" t="inlineStr">
        <is>
          <t>จำนวนดาวที่เสนอ</t>
        </is>
      </c>
      <c r="I1" s="4" t="inlineStr">
        <is>
          <t>ผู้รับรอง</t>
        </is>
      </c>
      <c r="J1" s="4" t="inlineStr">
        <is>
          <t>สถานะอนุมัติ</t>
        </is>
      </c>
      <c r="K1" s="4" t="inlineStr">
        <is>
          <t>ผู้อนุมัติ</t>
        </is>
      </c>
      <c r="L1" s="4" t="inlineStr">
        <is>
          <t>วันที่อนุมัติ</t>
        </is>
      </c>
      <c r="M1" s="4" t="inlineStr">
        <is>
          <t>หมายเหตุ</t>
        </is>
      </c>
    </row>
    <row r="2">
      <c r="A2" t="inlineStr">
        <is>
          <t>GRN-0001</t>
        </is>
      </c>
      <c r="B2" t="inlineStr">
        <is>
          <t>2569</t>
        </is>
      </c>
      <c r="C2" t="inlineStr">
        <is>
          <t>DEMO0001</t>
        </is>
      </c>
      <c r="D2" t="inlineStr">
        <is>
          <t>นักศึกษาตัวอย่าง</t>
        </is>
      </c>
      <c r="E2" t="inlineStr">
        <is>
          <t>ช่วยจัดเตรียมสถานที่กิจกรรม</t>
        </is>
      </c>
      <c r="F2" s="5" t="n">
        <v>46308</v>
      </c>
      <c r="G2" t="inlineStr">
        <is>
          <t>ตัวอย่างสมมติ: รายชื่อเวร/บันทึกผู้รับรอง</t>
        </is>
      </c>
      <c r="H2" t="n">
        <v>1</v>
      </c>
      <c r="I2" t="inlineStr">
        <is>
          <t>เจ้าหน้าที่ตัวอย่าง</t>
        </is>
      </c>
      <c r="J2" t="inlineStr">
        <is>
          <t>อนุมัติ</t>
        </is>
      </c>
      <c r="K2" t="inlineStr">
        <is>
          <t>ผู้อนุมัติตัวอย่าง</t>
        </is>
      </c>
      <c r="L2" s="5" t="n">
        <v>46308</v>
      </c>
      <c r="M2" t="inlineStr">
        <is>
          <t>จำนวนดาวในตัวอย่างเท่านั้น ต้องใช้เกณฑ์ที่คณะอนุมัติ</t>
        </is>
      </c>
    </row>
    <row r="3">
      <c r="F3" s="5" t="n"/>
      <c r="L3" s="5" t="n"/>
    </row>
    <row r="4">
      <c r="F4" s="5" t="n"/>
      <c r="L4" s="5" t="n"/>
    </row>
    <row r="5">
      <c r="F5" s="5" t="n"/>
      <c r="L5" s="5" t="n"/>
    </row>
    <row r="6">
      <c r="F6" s="5" t="n"/>
      <c r="L6" s="5" t="n"/>
    </row>
    <row r="7">
      <c r="F7" s="5" t="n"/>
      <c r="L7" s="5" t="n"/>
    </row>
    <row r="8">
      <c r="F8" s="5" t="n"/>
      <c r="L8" s="5" t="n"/>
    </row>
    <row r="9">
      <c r="F9" s="5" t="n"/>
      <c r="L9" s="5" t="n"/>
    </row>
    <row r="10">
      <c r="F10" s="5" t="n"/>
      <c r="L10" s="5" t="n"/>
    </row>
    <row r="11">
      <c r="F11" s="5" t="n"/>
      <c r="L11" s="5" t="n"/>
    </row>
    <row r="12">
      <c r="F12" s="5" t="n"/>
      <c r="L12" s="5" t="n"/>
    </row>
    <row r="13">
      <c r="F13" s="5" t="n"/>
      <c r="L13" s="5" t="n"/>
    </row>
    <row r="14">
      <c r="F14" s="5" t="n"/>
      <c r="L14" s="5" t="n"/>
    </row>
    <row r="15">
      <c r="F15" s="5" t="n"/>
      <c r="L15" s="5" t="n"/>
    </row>
    <row r="16">
      <c r="F16" s="5" t="n"/>
      <c r="L16" s="5" t="n"/>
    </row>
    <row r="17">
      <c r="F17" s="5" t="n"/>
      <c r="L17" s="5" t="n"/>
    </row>
    <row r="18">
      <c r="F18" s="5" t="n"/>
      <c r="L18" s="5" t="n"/>
    </row>
    <row r="19">
      <c r="F19" s="5" t="n"/>
      <c r="L19" s="5" t="n"/>
    </row>
    <row r="20">
      <c r="F20" s="5" t="n"/>
      <c r="L20" s="5" t="n"/>
    </row>
    <row r="21">
      <c r="F21" s="5" t="n"/>
      <c r="L21" s="5" t="n"/>
    </row>
    <row r="22">
      <c r="F22" s="5" t="n"/>
      <c r="L22" s="5" t="n"/>
    </row>
    <row r="23">
      <c r="F23" s="5" t="n"/>
      <c r="L23" s="5" t="n"/>
    </row>
    <row r="24">
      <c r="F24" s="5" t="n"/>
      <c r="L24" s="5" t="n"/>
    </row>
    <row r="25">
      <c r="F25" s="5" t="n"/>
      <c r="L25" s="5" t="n"/>
    </row>
    <row r="26">
      <c r="F26" s="5" t="n"/>
      <c r="L26" s="5" t="n"/>
    </row>
    <row r="27">
      <c r="F27" s="5" t="n"/>
      <c r="L27" s="5" t="n"/>
    </row>
    <row r="28">
      <c r="F28" s="5" t="n"/>
      <c r="L28" s="5" t="n"/>
    </row>
    <row r="29">
      <c r="F29" s="5" t="n"/>
      <c r="L29" s="5" t="n"/>
    </row>
    <row r="30">
      <c r="F30" s="5" t="n"/>
      <c r="L30" s="5" t="n"/>
    </row>
    <row r="31">
      <c r="F31" s="5" t="n"/>
      <c r="L31" s="5" t="n"/>
    </row>
    <row r="32">
      <c r="F32" s="5" t="n"/>
      <c r="L32" s="5" t="n"/>
    </row>
    <row r="33">
      <c r="F33" s="5" t="n"/>
      <c r="L33" s="5" t="n"/>
    </row>
    <row r="34">
      <c r="F34" s="5" t="n"/>
      <c r="L34" s="5" t="n"/>
    </row>
    <row r="35">
      <c r="F35" s="5" t="n"/>
      <c r="L35" s="5" t="n"/>
    </row>
    <row r="36">
      <c r="F36" s="5" t="n"/>
      <c r="L36" s="5" t="n"/>
    </row>
    <row r="37">
      <c r="F37" s="5" t="n"/>
      <c r="L37" s="5" t="n"/>
    </row>
    <row r="38">
      <c r="F38" s="5" t="n"/>
      <c r="L38" s="5" t="n"/>
    </row>
    <row r="39">
      <c r="F39" s="5" t="n"/>
      <c r="L39" s="5" t="n"/>
    </row>
    <row r="40">
      <c r="F40" s="5" t="n"/>
      <c r="L40" s="5" t="n"/>
    </row>
    <row r="41">
      <c r="F41" s="5" t="n"/>
      <c r="L41" s="5" t="n"/>
    </row>
    <row r="42">
      <c r="F42" s="5" t="n"/>
      <c r="L42" s="5" t="n"/>
    </row>
    <row r="43">
      <c r="F43" s="5" t="n"/>
      <c r="L43" s="5" t="n"/>
    </row>
    <row r="44">
      <c r="F44" s="5" t="n"/>
      <c r="L44" s="5" t="n"/>
    </row>
    <row r="45">
      <c r="F45" s="5" t="n"/>
      <c r="L45" s="5" t="n"/>
    </row>
    <row r="46">
      <c r="F46" s="5" t="n"/>
      <c r="L46" s="5" t="n"/>
    </row>
    <row r="47">
      <c r="F47" s="5" t="n"/>
      <c r="L47" s="5" t="n"/>
    </row>
    <row r="48">
      <c r="F48" s="5" t="n"/>
      <c r="L48" s="5" t="n"/>
    </row>
    <row r="49">
      <c r="F49" s="5" t="n"/>
      <c r="L49" s="5" t="n"/>
    </row>
    <row r="50">
      <c r="F50" s="5" t="n"/>
      <c r="L50" s="5" t="n"/>
    </row>
    <row r="51">
      <c r="F51" s="5" t="n"/>
      <c r="L51" s="5" t="n"/>
    </row>
    <row r="52">
      <c r="F52" s="5" t="n"/>
      <c r="L52" s="5" t="n"/>
    </row>
    <row r="53">
      <c r="F53" s="5" t="n"/>
      <c r="L53" s="5" t="n"/>
    </row>
    <row r="54">
      <c r="F54" s="5" t="n"/>
      <c r="L54" s="5" t="n"/>
    </row>
    <row r="55">
      <c r="F55" s="5" t="n"/>
      <c r="L55" s="5" t="n"/>
    </row>
    <row r="56">
      <c r="F56" s="5" t="n"/>
      <c r="L56" s="5" t="n"/>
    </row>
    <row r="57">
      <c r="F57" s="5" t="n"/>
      <c r="L57" s="5" t="n"/>
    </row>
    <row r="58">
      <c r="F58" s="5" t="n"/>
      <c r="L58" s="5" t="n"/>
    </row>
    <row r="59">
      <c r="F59" s="5" t="n"/>
      <c r="L59" s="5" t="n"/>
    </row>
    <row r="60">
      <c r="F60" s="5" t="n"/>
      <c r="L60" s="5" t="n"/>
    </row>
    <row r="61">
      <c r="F61" s="5" t="n"/>
      <c r="L61" s="5" t="n"/>
    </row>
    <row r="62">
      <c r="F62" s="5" t="n"/>
      <c r="L62" s="5" t="n"/>
    </row>
    <row r="63">
      <c r="F63" s="5" t="n"/>
      <c r="L63" s="5" t="n"/>
    </row>
    <row r="64">
      <c r="F64" s="5" t="n"/>
      <c r="L64" s="5" t="n"/>
    </row>
    <row r="65">
      <c r="F65" s="5" t="n"/>
      <c r="L65" s="5" t="n"/>
    </row>
    <row r="66">
      <c r="F66" s="5" t="n"/>
      <c r="L66" s="5" t="n"/>
    </row>
    <row r="67">
      <c r="F67" s="5" t="n"/>
      <c r="L67" s="5" t="n"/>
    </row>
    <row r="68">
      <c r="F68" s="5" t="n"/>
      <c r="L68" s="5" t="n"/>
    </row>
    <row r="69">
      <c r="F69" s="5" t="n"/>
      <c r="L69" s="5" t="n"/>
    </row>
    <row r="70">
      <c r="F70" s="5" t="n"/>
      <c r="L70" s="5" t="n"/>
    </row>
    <row r="71">
      <c r="F71" s="5" t="n"/>
      <c r="L71" s="5" t="n"/>
    </row>
    <row r="72">
      <c r="F72" s="5" t="n"/>
      <c r="L72" s="5" t="n"/>
    </row>
    <row r="73">
      <c r="F73" s="5" t="n"/>
      <c r="L73" s="5" t="n"/>
    </row>
    <row r="74">
      <c r="F74" s="5" t="n"/>
      <c r="L74" s="5" t="n"/>
    </row>
    <row r="75">
      <c r="F75" s="5" t="n"/>
      <c r="L75" s="5" t="n"/>
    </row>
    <row r="76">
      <c r="F76" s="5" t="n"/>
      <c r="L76" s="5" t="n"/>
    </row>
    <row r="77">
      <c r="F77" s="5" t="n"/>
      <c r="L77" s="5" t="n"/>
    </row>
    <row r="78">
      <c r="F78" s="5" t="n"/>
      <c r="L78" s="5" t="n"/>
    </row>
    <row r="79">
      <c r="F79" s="5" t="n"/>
      <c r="L79" s="5" t="n"/>
    </row>
    <row r="80">
      <c r="F80" s="5" t="n"/>
      <c r="L80" s="5" t="n"/>
    </row>
    <row r="81">
      <c r="F81" s="5" t="n"/>
      <c r="L81" s="5" t="n"/>
    </row>
    <row r="82">
      <c r="F82" s="5" t="n"/>
      <c r="L82" s="5" t="n"/>
    </row>
    <row r="83">
      <c r="F83" s="5" t="n"/>
      <c r="L83" s="5" t="n"/>
    </row>
    <row r="84">
      <c r="F84" s="5" t="n"/>
      <c r="L84" s="5" t="n"/>
    </row>
    <row r="85">
      <c r="F85" s="5" t="n"/>
      <c r="L85" s="5" t="n"/>
    </row>
    <row r="86">
      <c r="F86" s="5" t="n"/>
      <c r="L86" s="5" t="n"/>
    </row>
    <row r="87">
      <c r="F87" s="5" t="n"/>
      <c r="L87" s="5" t="n"/>
    </row>
    <row r="88">
      <c r="F88" s="5" t="n"/>
      <c r="L88" s="5" t="n"/>
    </row>
    <row r="89">
      <c r="F89" s="5" t="n"/>
      <c r="L89" s="5" t="n"/>
    </row>
    <row r="90">
      <c r="F90" s="5" t="n"/>
      <c r="L90" s="5" t="n"/>
    </row>
    <row r="91">
      <c r="F91" s="5" t="n"/>
      <c r="L91" s="5" t="n"/>
    </row>
    <row r="92">
      <c r="F92" s="5" t="n"/>
      <c r="L92" s="5" t="n"/>
    </row>
    <row r="93">
      <c r="F93" s="5" t="n"/>
      <c r="L93" s="5" t="n"/>
    </row>
    <row r="94">
      <c r="F94" s="5" t="n"/>
      <c r="L94" s="5" t="n"/>
    </row>
    <row r="95">
      <c r="F95" s="5" t="n"/>
      <c r="L95" s="5" t="n"/>
    </row>
    <row r="96">
      <c r="F96" s="5" t="n"/>
      <c r="L96" s="5" t="n"/>
    </row>
    <row r="97">
      <c r="F97" s="5" t="n"/>
      <c r="L97" s="5" t="n"/>
    </row>
    <row r="98">
      <c r="F98" s="5" t="n"/>
      <c r="L98" s="5" t="n"/>
    </row>
    <row r="99">
      <c r="F99" s="5" t="n"/>
      <c r="L99" s="5" t="n"/>
    </row>
    <row r="100">
      <c r="F100" s="5" t="n"/>
      <c r="L100" s="5" t="n"/>
    </row>
    <row r="101">
      <c r="F101" s="5" t="n"/>
      <c r="L101" s="5" t="n"/>
    </row>
    <row r="102">
      <c r="F102" s="5" t="n"/>
      <c r="L102" s="5" t="n"/>
    </row>
    <row r="103">
      <c r="F103" s="5" t="n"/>
      <c r="L103" s="5" t="n"/>
    </row>
    <row r="104">
      <c r="F104" s="5" t="n"/>
      <c r="L104" s="5" t="n"/>
    </row>
    <row r="105">
      <c r="F105" s="5" t="n"/>
      <c r="L105" s="5" t="n"/>
    </row>
    <row r="106">
      <c r="F106" s="5" t="n"/>
      <c r="L106" s="5" t="n"/>
    </row>
    <row r="107">
      <c r="F107" s="5" t="n"/>
      <c r="L107" s="5" t="n"/>
    </row>
    <row r="108">
      <c r="F108" s="5" t="n"/>
      <c r="L108" s="5" t="n"/>
    </row>
    <row r="109">
      <c r="F109" s="5" t="n"/>
      <c r="L109" s="5" t="n"/>
    </row>
    <row r="110">
      <c r="F110" s="5" t="n"/>
      <c r="L110" s="5" t="n"/>
    </row>
    <row r="111">
      <c r="F111" s="5" t="n"/>
      <c r="L111" s="5" t="n"/>
    </row>
    <row r="112">
      <c r="F112" s="5" t="n"/>
      <c r="L112" s="5" t="n"/>
    </row>
    <row r="113">
      <c r="F113" s="5" t="n"/>
      <c r="L113" s="5" t="n"/>
    </row>
    <row r="114">
      <c r="F114" s="5" t="n"/>
      <c r="L114" s="5" t="n"/>
    </row>
    <row r="115">
      <c r="F115" s="5" t="n"/>
      <c r="L115" s="5" t="n"/>
    </row>
    <row r="116">
      <c r="F116" s="5" t="n"/>
      <c r="L116" s="5" t="n"/>
    </row>
    <row r="117">
      <c r="F117" s="5" t="n"/>
      <c r="L117" s="5" t="n"/>
    </row>
    <row r="118">
      <c r="F118" s="5" t="n"/>
      <c r="L118" s="5" t="n"/>
    </row>
    <row r="119">
      <c r="F119" s="5" t="n"/>
      <c r="L119" s="5" t="n"/>
    </row>
    <row r="120">
      <c r="F120" s="5" t="n"/>
      <c r="L120" s="5" t="n"/>
    </row>
    <row r="121">
      <c r="F121" s="5" t="n"/>
      <c r="L121" s="5" t="n"/>
    </row>
    <row r="122">
      <c r="F122" s="5" t="n"/>
      <c r="L122" s="5" t="n"/>
    </row>
    <row r="123">
      <c r="F123" s="5" t="n"/>
      <c r="L123" s="5" t="n"/>
    </row>
    <row r="124">
      <c r="F124" s="5" t="n"/>
      <c r="L124" s="5" t="n"/>
    </row>
    <row r="125">
      <c r="F125" s="5" t="n"/>
      <c r="L125" s="5" t="n"/>
    </row>
    <row r="126">
      <c r="F126" s="5" t="n"/>
      <c r="L126" s="5" t="n"/>
    </row>
    <row r="127">
      <c r="F127" s="5" t="n"/>
      <c r="L127" s="5" t="n"/>
    </row>
    <row r="128">
      <c r="F128" s="5" t="n"/>
      <c r="L128" s="5" t="n"/>
    </row>
    <row r="129">
      <c r="F129" s="5" t="n"/>
      <c r="L129" s="5" t="n"/>
    </row>
    <row r="130">
      <c r="F130" s="5" t="n"/>
      <c r="L130" s="5" t="n"/>
    </row>
    <row r="131">
      <c r="F131" s="5" t="n"/>
      <c r="L131" s="5" t="n"/>
    </row>
    <row r="132">
      <c r="F132" s="5" t="n"/>
      <c r="L132" s="5" t="n"/>
    </row>
    <row r="133">
      <c r="F133" s="5" t="n"/>
      <c r="L133" s="5" t="n"/>
    </row>
    <row r="134">
      <c r="F134" s="5" t="n"/>
      <c r="L134" s="5" t="n"/>
    </row>
    <row r="135">
      <c r="F135" s="5" t="n"/>
      <c r="L135" s="5" t="n"/>
    </row>
    <row r="136">
      <c r="F136" s="5" t="n"/>
      <c r="L136" s="5" t="n"/>
    </row>
    <row r="137">
      <c r="F137" s="5" t="n"/>
      <c r="L137" s="5" t="n"/>
    </row>
    <row r="138">
      <c r="F138" s="5" t="n"/>
      <c r="L138" s="5" t="n"/>
    </row>
    <row r="139">
      <c r="F139" s="5" t="n"/>
      <c r="L139" s="5" t="n"/>
    </row>
    <row r="140">
      <c r="F140" s="5" t="n"/>
      <c r="L140" s="5" t="n"/>
    </row>
    <row r="141">
      <c r="F141" s="5" t="n"/>
      <c r="L141" s="5" t="n"/>
    </row>
    <row r="142">
      <c r="F142" s="5" t="n"/>
      <c r="L142" s="5" t="n"/>
    </row>
    <row r="143">
      <c r="F143" s="5" t="n"/>
      <c r="L143" s="5" t="n"/>
    </row>
    <row r="144">
      <c r="F144" s="5" t="n"/>
      <c r="L144" s="5" t="n"/>
    </row>
    <row r="145">
      <c r="F145" s="5" t="n"/>
      <c r="L145" s="5" t="n"/>
    </row>
    <row r="146">
      <c r="F146" s="5" t="n"/>
      <c r="L146" s="5" t="n"/>
    </row>
    <row r="147">
      <c r="F147" s="5" t="n"/>
      <c r="L147" s="5" t="n"/>
    </row>
    <row r="148">
      <c r="F148" s="5" t="n"/>
      <c r="L148" s="5" t="n"/>
    </row>
    <row r="149">
      <c r="F149" s="5" t="n"/>
      <c r="L149" s="5" t="n"/>
    </row>
    <row r="150">
      <c r="F150" s="5" t="n"/>
      <c r="L150" s="5" t="n"/>
    </row>
    <row r="151">
      <c r="F151" s="5" t="n"/>
      <c r="L151" s="5" t="n"/>
    </row>
    <row r="152">
      <c r="F152" s="5" t="n"/>
      <c r="L152" s="5" t="n"/>
    </row>
    <row r="153">
      <c r="F153" s="5" t="n"/>
      <c r="L153" s="5" t="n"/>
    </row>
    <row r="154">
      <c r="F154" s="5" t="n"/>
      <c r="L154" s="5" t="n"/>
    </row>
    <row r="155">
      <c r="F155" s="5" t="n"/>
      <c r="L155" s="5" t="n"/>
    </row>
    <row r="156">
      <c r="F156" s="5" t="n"/>
      <c r="L156" s="5" t="n"/>
    </row>
    <row r="157">
      <c r="F157" s="5" t="n"/>
      <c r="L157" s="5" t="n"/>
    </row>
    <row r="158">
      <c r="F158" s="5" t="n"/>
      <c r="L158" s="5" t="n"/>
    </row>
    <row r="159">
      <c r="F159" s="5" t="n"/>
      <c r="L159" s="5" t="n"/>
    </row>
    <row r="160">
      <c r="F160" s="5" t="n"/>
      <c r="L160" s="5" t="n"/>
    </row>
    <row r="161">
      <c r="F161" s="5" t="n"/>
      <c r="L161" s="5" t="n"/>
    </row>
    <row r="162">
      <c r="F162" s="5" t="n"/>
      <c r="L162" s="5" t="n"/>
    </row>
    <row r="163">
      <c r="F163" s="5" t="n"/>
      <c r="L163" s="5" t="n"/>
    </row>
    <row r="164">
      <c r="F164" s="5" t="n"/>
      <c r="L164" s="5" t="n"/>
    </row>
    <row r="165">
      <c r="F165" s="5" t="n"/>
      <c r="L165" s="5" t="n"/>
    </row>
    <row r="166">
      <c r="F166" s="5" t="n"/>
      <c r="L166" s="5" t="n"/>
    </row>
    <row r="167">
      <c r="F167" s="5" t="n"/>
      <c r="L167" s="5" t="n"/>
    </row>
    <row r="168">
      <c r="F168" s="5" t="n"/>
      <c r="L168" s="5" t="n"/>
    </row>
    <row r="169">
      <c r="F169" s="5" t="n"/>
      <c r="L169" s="5" t="n"/>
    </row>
    <row r="170">
      <c r="F170" s="5" t="n"/>
      <c r="L170" s="5" t="n"/>
    </row>
    <row r="171">
      <c r="F171" s="5" t="n"/>
      <c r="L171" s="5" t="n"/>
    </row>
    <row r="172">
      <c r="F172" s="5" t="n"/>
      <c r="L172" s="5" t="n"/>
    </row>
    <row r="173">
      <c r="F173" s="5" t="n"/>
      <c r="L173" s="5" t="n"/>
    </row>
    <row r="174">
      <c r="F174" s="5" t="n"/>
      <c r="L174" s="5" t="n"/>
    </row>
    <row r="175">
      <c r="F175" s="5" t="n"/>
      <c r="L175" s="5" t="n"/>
    </row>
    <row r="176">
      <c r="F176" s="5" t="n"/>
      <c r="L176" s="5" t="n"/>
    </row>
    <row r="177">
      <c r="F177" s="5" t="n"/>
      <c r="L177" s="5" t="n"/>
    </row>
    <row r="178">
      <c r="F178" s="5" t="n"/>
      <c r="L178" s="5" t="n"/>
    </row>
    <row r="179">
      <c r="F179" s="5" t="n"/>
      <c r="L179" s="5" t="n"/>
    </row>
    <row r="180">
      <c r="F180" s="5" t="n"/>
      <c r="L180" s="5" t="n"/>
    </row>
    <row r="181">
      <c r="F181" s="5" t="n"/>
      <c r="L181" s="5" t="n"/>
    </row>
    <row r="182">
      <c r="F182" s="5" t="n"/>
      <c r="L182" s="5" t="n"/>
    </row>
    <row r="183">
      <c r="F183" s="5" t="n"/>
      <c r="L183" s="5" t="n"/>
    </row>
    <row r="184">
      <c r="F184" s="5" t="n"/>
      <c r="L184" s="5" t="n"/>
    </row>
    <row r="185">
      <c r="F185" s="5" t="n"/>
      <c r="L185" s="5" t="n"/>
    </row>
    <row r="186">
      <c r="F186" s="5" t="n"/>
      <c r="L186" s="5" t="n"/>
    </row>
    <row r="187">
      <c r="F187" s="5" t="n"/>
      <c r="L187" s="5" t="n"/>
    </row>
    <row r="188">
      <c r="F188" s="5" t="n"/>
      <c r="L188" s="5" t="n"/>
    </row>
    <row r="189">
      <c r="F189" s="5" t="n"/>
      <c r="L189" s="5" t="n"/>
    </row>
    <row r="190">
      <c r="F190" s="5" t="n"/>
      <c r="L190" s="5" t="n"/>
    </row>
    <row r="191">
      <c r="F191" s="5" t="n"/>
      <c r="L191" s="5" t="n"/>
    </row>
    <row r="192">
      <c r="F192" s="5" t="n"/>
      <c r="L192" s="5" t="n"/>
    </row>
    <row r="193">
      <c r="F193" s="5" t="n"/>
      <c r="L193" s="5" t="n"/>
    </row>
    <row r="194">
      <c r="F194" s="5" t="n"/>
      <c r="L194" s="5" t="n"/>
    </row>
    <row r="195">
      <c r="F195" s="5" t="n"/>
      <c r="L195" s="5" t="n"/>
    </row>
    <row r="196">
      <c r="F196" s="5" t="n"/>
      <c r="L196" s="5" t="n"/>
    </row>
    <row r="197">
      <c r="F197" s="5" t="n"/>
      <c r="L197" s="5" t="n"/>
    </row>
    <row r="198">
      <c r="F198" s="5" t="n"/>
      <c r="L198" s="5" t="n"/>
    </row>
    <row r="199">
      <c r="F199" s="5" t="n"/>
      <c r="L199" s="5" t="n"/>
    </row>
    <row r="200">
      <c r="F200" s="5" t="n"/>
      <c r="L200" s="5" t="n"/>
    </row>
    <row r="201">
      <c r="F201" s="5" t="n"/>
      <c r="L201" s="5" t="n"/>
    </row>
    <row r="202">
      <c r="F202" s="5" t="n"/>
      <c r="L202" s="5" t="n"/>
    </row>
    <row r="203">
      <c r="F203" s="5" t="n"/>
      <c r="L203" s="5" t="n"/>
    </row>
    <row r="204">
      <c r="F204" s="5" t="n"/>
      <c r="L204" s="5" t="n"/>
    </row>
    <row r="205">
      <c r="F205" s="5" t="n"/>
      <c r="L205" s="5" t="n"/>
    </row>
    <row r="206">
      <c r="F206" s="5" t="n"/>
      <c r="L206" s="5" t="n"/>
    </row>
    <row r="207">
      <c r="F207" s="5" t="n"/>
      <c r="L207" s="5" t="n"/>
    </row>
    <row r="208">
      <c r="F208" s="5" t="n"/>
      <c r="L208" s="5" t="n"/>
    </row>
    <row r="209">
      <c r="F209" s="5" t="n"/>
      <c r="L209" s="5" t="n"/>
    </row>
    <row r="210">
      <c r="F210" s="5" t="n"/>
      <c r="L210" s="5" t="n"/>
    </row>
    <row r="211">
      <c r="F211" s="5" t="n"/>
      <c r="L211" s="5" t="n"/>
    </row>
    <row r="212">
      <c r="F212" s="5" t="n"/>
      <c r="L212" s="5" t="n"/>
    </row>
    <row r="213">
      <c r="F213" s="5" t="n"/>
      <c r="L213" s="5" t="n"/>
    </row>
    <row r="214">
      <c r="F214" s="5" t="n"/>
      <c r="L214" s="5" t="n"/>
    </row>
    <row r="215">
      <c r="F215" s="5" t="n"/>
      <c r="L215" s="5" t="n"/>
    </row>
    <row r="216">
      <c r="F216" s="5" t="n"/>
      <c r="L216" s="5" t="n"/>
    </row>
    <row r="217">
      <c r="F217" s="5" t="n"/>
      <c r="L217" s="5" t="n"/>
    </row>
    <row r="218">
      <c r="F218" s="5" t="n"/>
      <c r="L218" s="5" t="n"/>
    </row>
    <row r="219">
      <c r="F219" s="5" t="n"/>
      <c r="L219" s="5" t="n"/>
    </row>
    <row r="220">
      <c r="F220" s="5" t="n"/>
      <c r="L220" s="5" t="n"/>
    </row>
    <row r="221">
      <c r="F221" s="5" t="n"/>
      <c r="L221" s="5" t="n"/>
    </row>
    <row r="222">
      <c r="F222" s="5" t="n"/>
      <c r="L222" s="5" t="n"/>
    </row>
    <row r="223">
      <c r="F223" s="5" t="n"/>
      <c r="L223" s="5" t="n"/>
    </row>
    <row r="224">
      <c r="F224" s="5" t="n"/>
      <c r="L224" s="5" t="n"/>
    </row>
    <row r="225">
      <c r="F225" s="5" t="n"/>
      <c r="L225" s="5" t="n"/>
    </row>
    <row r="226">
      <c r="F226" s="5" t="n"/>
      <c r="L226" s="5" t="n"/>
    </row>
    <row r="227">
      <c r="F227" s="5" t="n"/>
      <c r="L227" s="5" t="n"/>
    </row>
    <row r="228">
      <c r="F228" s="5" t="n"/>
      <c r="L228" s="5" t="n"/>
    </row>
    <row r="229">
      <c r="F229" s="5" t="n"/>
      <c r="L229" s="5" t="n"/>
    </row>
    <row r="230">
      <c r="F230" s="5" t="n"/>
      <c r="L230" s="5" t="n"/>
    </row>
    <row r="231">
      <c r="F231" s="5" t="n"/>
      <c r="L231" s="5" t="n"/>
    </row>
    <row r="232">
      <c r="F232" s="5" t="n"/>
      <c r="L232" s="5" t="n"/>
    </row>
    <row r="233">
      <c r="F233" s="5" t="n"/>
      <c r="L233" s="5" t="n"/>
    </row>
    <row r="234">
      <c r="F234" s="5" t="n"/>
      <c r="L234" s="5" t="n"/>
    </row>
    <row r="235">
      <c r="F235" s="5" t="n"/>
      <c r="L235" s="5" t="n"/>
    </row>
    <row r="236">
      <c r="F236" s="5" t="n"/>
      <c r="L236" s="5" t="n"/>
    </row>
    <row r="237">
      <c r="F237" s="5" t="n"/>
      <c r="L237" s="5" t="n"/>
    </row>
    <row r="238">
      <c r="F238" s="5" t="n"/>
      <c r="L238" s="5" t="n"/>
    </row>
    <row r="239">
      <c r="F239" s="5" t="n"/>
      <c r="L239" s="5" t="n"/>
    </row>
    <row r="240">
      <c r="F240" s="5" t="n"/>
      <c r="L240" s="5" t="n"/>
    </row>
    <row r="241">
      <c r="F241" s="5" t="n"/>
      <c r="L241" s="5" t="n"/>
    </row>
    <row r="242">
      <c r="F242" s="5" t="n"/>
      <c r="L242" s="5" t="n"/>
    </row>
    <row r="243">
      <c r="F243" s="5" t="n"/>
      <c r="L243" s="5" t="n"/>
    </row>
    <row r="244">
      <c r="F244" s="5" t="n"/>
      <c r="L244" s="5" t="n"/>
    </row>
    <row r="245">
      <c r="F245" s="5" t="n"/>
      <c r="L245" s="5" t="n"/>
    </row>
    <row r="246">
      <c r="F246" s="5" t="n"/>
      <c r="L246" s="5" t="n"/>
    </row>
    <row r="247">
      <c r="F247" s="5" t="n"/>
      <c r="L247" s="5" t="n"/>
    </row>
    <row r="248">
      <c r="F248" s="5" t="n"/>
      <c r="L248" s="5" t="n"/>
    </row>
    <row r="249">
      <c r="F249" s="5" t="n"/>
      <c r="L249" s="5" t="n"/>
    </row>
    <row r="250">
      <c r="F250" s="5" t="n"/>
      <c r="L250" s="5" t="n"/>
    </row>
    <row r="251">
      <c r="F251" s="5" t="n"/>
      <c r="L251" s="5" t="n"/>
    </row>
    <row r="252">
      <c r="F252" s="5" t="n"/>
      <c r="L252" s="5" t="n"/>
    </row>
    <row r="253">
      <c r="F253" s="5" t="n"/>
      <c r="L253" s="5" t="n"/>
    </row>
    <row r="254">
      <c r="F254" s="5" t="n"/>
      <c r="L254" s="5" t="n"/>
    </row>
    <row r="255">
      <c r="F255" s="5" t="n"/>
      <c r="L255" s="5" t="n"/>
    </row>
    <row r="256">
      <c r="F256" s="5" t="n"/>
      <c r="L256" s="5" t="n"/>
    </row>
    <row r="257">
      <c r="F257" s="5" t="n"/>
      <c r="L257" s="5" t="n"/>
    </row>
    <row r="258">
      <c r="F258" s="5" t="n"/>
      <c r="L258" s="5" t="n"/>
    </row>
    <row r="259">
      <c r="F259" s="5" t="n"/>
      <c r="L259" s="5" t="n"/>
    </row>
    <row r="260">
      <c r="F260" s="5" t="n"/>
      <c r="L260" s="5" t="n"/>
    </row>
    <row r="261">
      <c r="F261" s="5" t="n"/>
      <c r="L261" s="5" t="n"/>
    </row>
    <row r="262">
      <c r="F262" s="5" t="n"/>
      <c r="L262" s="5" t="n"/>
    </row>
    <row r="263">
      <c r="F263" s="5" t="n"/>
      <c r="L263" s="5" t="n"/>
    </row>
    <row r="264">
      <c r="F264" s="5" t="n"/>
      <c r="L264" s="5" t="n"/>
    </row>
    <row r="265">
      <c r="F265" s="5" t="n"/>
      <c r="L265" s="5" t="n"/>
    </row>
    <row r="266">
      <c r="F266" s="5" t="n"/>
      <c r="L266" s="5" t="n"/>
    </row>
    <row r="267">
      <c r="F267" s="5" t="n"/>
      <c r="L267" s="5" t="n"/>
    </row>
    <row r="268">
      <c r="F268" s="5" t="n"/>
      <c r="L268" s="5" t="n"/>
    </row>
    <row r="269">
      <c r="F269" s="5" t="n"/>
      <c r="L269" s="5" t="n"/>
    </row>
    <row r="270">
      <c r="F270" s="5" t="n"/>
      <c r="L270" s="5" t="n"/>
    </row>
    <row r="271">
      <c r="F271" s="5" t="n"/>
      <c r="L271" s="5" t="n"/>
    </row>
    <row r="272">
      <c r="F272" s="5" t="n"/>
      <c r="L272" s="5" t="n"/>
    </row>
    <row r="273">
      <c r="F273" s="5" t="n"/>
      <c r="L273" s="5" t="n"/>
    </row>
    <row r="274">
      <c r="F274" s="5" t="n"/>
      <c r="L274" s="5" t="n"/>
    </row>
    <row r="275">
      <c r="F275" s="5" t="n"/>
      <c r="L275" s="5" t="n"/>
    </row>
    <row r="276">
      <c r="F276" s="5" t="n"/>
      <c r="L276" s="5" t="n"/>
    </row>
    <row r="277">
      <c r="F277" s="5" t="n"/>
      <c r="L277" s="5" t="n"/>
    </row>
    <row r="278">
      <c r="F278" s="5" t="n"/>
      <c r="L278" s="5" t="n"/>
    </row>
    <row r="279">
      <c r="F279" s="5" t="n"/>
      <c r="L279" s="5" t="n"/>
    </row>
    <row r="280">
      <c r="F280" s="5" t="n"/>
      <c r="L280" s="5" t="n"/>
    </row>
    <row r="281">
      <c r="F281" s="5" t="n"/>
      <c r="L281" s="5" t="n"/>
    </row>
    <row r="282">
      <c r="F282" s="5" t="n"/>
      <c r="L282" s="5" t="n"/>
    </row>
    <row r="283">
      <c r="F283" s="5" t="n"/>
      <c r="L283" s="5" t="n"/>
    </row>
    <row r="284">
      <c r="F284" s="5" t="n"/>
      <c r="L284" s="5" t="n"/>
    </row>
    <row r="285">
      <c r="F285" s="5" t="n"/>
      <c r="L285" s="5" t="n"/>
    </row>
    <row r="286">
      <c r="F286" s="5" t="n"/>
      <c r="L286" s="5" t="n"/>
    </row>
    <row r="287">
      <c r="F287" s="5" t="n"/>
      <c r="L287" s="5" t="n"/>
    </row>
    <row r="288">
      <c r="F288" s="5" t="n"/>
      <c r="L288" s="5" t="n"/>
    </row>
    <row r="289">
      <c r="F289" s="5" t="n"/>
      <c r="L289" s="5" t="n"/>
    </row>
    <row r="290">
      <c r="F290" s="5" t="n"/>
      <c r="L290" s="5" t="n"/>
    </row>
    <row r="291">
      <c r="F291" s="5" t="n"/>
      <c r="L291" s="5" t="n"/>
    </row>
    <row r="292">
      <c r="F292" s="5" t="n"/>
      <c r="L292" s="5" t="n"/>
    </row>
    <row r="293">
      <c r="F293" s="5" t="n"/>
      <c r="L293" s="5" t="n"/>
    </row>
    <row r="294">
      <c r="F294" s="5" t="n"/>
      <c r="L294" s="5" t="n"/>
    </row>
    <row r="295">
      <c r="F295" s="5" t="n"/>
      <c r="L295" s="5" t="n"/>
    </row>
    <row r="296">
      <c r="F296" s="5" t="n"/>
      <c r="L296" s="5" t="n"/>
    </row>
    <row r="297">
      <c r="F297" s="5" t="n"/>
      <c r="L297" s="5" t="n"/>
    </row>
    <row r="298">
      <c r="F298" s="5" t="n"/>
      <c r="L298" s="5" t="n"/>
    </row>
    <row r="299">
      <c r="F299" s="5" t="n"/>
      <c r="L299" s="5" t="n"/>
    </row>
    <row r="300">
      <c r="F300" s="5" t="n"/>
      <c r="L300" s="5" t="n"/>
    </row>
    <row r="301">
      <c r="F301" s="5" t="n"/>
      <c r="L301" s="5" t="n"/>
    </row>
    <row r="302">
      <c r="F302" s="5" t="n"/>
      <c r="L302" s="5" t="n"/>
    </row>
    <row r="303">
      <c r="F303" s="5" t="n"/>
      <c r="L303" s="5" t="n"/>
    </row>
    <row r="304">
      <c r="F304" s="5" t="n"/>
      <c r="L304" s="5" t="n"/>
    </row>
    <row r="305">
      <c r="F305" s="5" t="n"/>
      <c r="L305" s="5" t="n"/>
    </row>
    <row r="306">
      <c r="F306" s="5" t="n"/>
      <c r="L306" s="5" t="n"/>
    </row>
    <row r="307">
      <c r="F307" s="5" t="n"/>
      <c r="L307" s="5" t="n"/>
    </row>
    <row r="308">
      <c r="F308" s="5" t="n"/>
      <c r="L308" s="5" t="n"/>
    </row>
    <row r="309">
      <c r="F309" s="5" t="n"/>
      <c r="L309" s="5" t="n"/>
    </row>
    <row r="310">
      <c r="F310" s="5" t="n"/>
      <c r="L310" s="5" t="n"/>
    </row>
    <row r="311">
      <c r="F311" s="5" t="n"/>
      <c r="L311" s="5" t="n"/>
    </row>
    <row r="312">
      <c r="F312" s="5" t="n"/>
      <c r="L312" s="5" t="n"/>
    </row>
    <row r="313">
      <c r="F313" s="5" t="n"/>
      <c r="L313" s="5" t="n"/>
    </row>
    <row r="314">
      <c r="F314" s="5" t="n"/>
      <c r="L314" s="5" t="n"/>
    </row>
    <row r="315">
      <c r="F315" s="5" t="n"/>
      <c r="L315" s="5" t="n"/>
    </row>
    <row r="316">
      <c r="F316" s="5" t="n"/>
      <c r="L316" s="5" t="n"/>
    </row>
    <row r="317">
      <c r="F317" s="5" t="n"/>
      <c r="L317" s="5" t="n"/>
    </row>
    <row r="318">
      <c r="F318" s="5" t="n"/>
      <c r="L318" s="5" t="n"/>
    </row>
    <row r="319">
      <c r="F319" s="5" t="n"/>
      <c r="L319" s="5" t="n"/>
    </row>
    <row r="320">
      <c r="F320" s="5" t="n"/>
      <c r="L320" s="5" t="n"/>
    </row>
    <row r="321">
      <c r="F321" s="5" t="n"/>
      <c r="L321" s="5" t="n"/>
    </row>
    <row r="322">
      <c r="F322" s="5" t="n"/>
      <c r="L322" s="5" t="n"/>
    </row>
    <row r="323">
      <c r="F323" s="5" t="n"/>
      <c r="L323" s="5" t="n"/>
    </row>
    <row r="324">
      <c r="F324" s="5" t="n"/>
      <c r="L324" s="5" t="n"/>
    </row>
    <row r="325">
      <c r="F325" s="5" t="n"/>
      <c r="L325" s="5" t="n"/>
    </row>
    <row r="326">
      <c r="F326" s="5" t="n"/>
      <c r="L326" s="5" t="n"/>
    </row>
    <row r="327">
      <c r="F327" s="5" t="n"/>
      <c r="L327" s="5" t="n"/>
    </row>
    <row r="328">
      <c r="F328" s="5" t="n"/>
      <c r="L328" s="5" t="n"/>
    </row>
    <row r="329">
      <c r="F329" s="5" t="n"/>
      <c r="L329" s="5" t="n"/>
    </row>
    <row r="330">
      <c r="F330" s="5" t="n"/>
      <c r="L330" s="5" t="n"/>
    </row>
    <row r="331">
      <c r="F331" s="5" t="n"/>
      <c r="L331" s="5" t="n"/>
    </row>
    <row r="332">
      <c r="F332" s="5" t="n"/>
      <c r="L332" s="5" t="n"/>
    </row>
    <row r="333">
      <c r="F333" s="5" t="n"/>
      <c r="L333" s="5" t="n"/>
    </row>
    <row r="334">
      <c r="F334" s="5" t="n"/>
      <c r="L334" s="5" t="n"/>
    </row>
    <row r="335">
      <c r="F335" s="5" t="n"/>
      <c r="L335" s="5" t="n"/>
    </row>
    <row r="336">
      <c r="F336" s="5" t="n"/>
      <c r="L336" s="5" t="n"/>
    </row>
    <row r="337">
      <c r="F337" s="5" t="n"/>
      <c r="L337" s="5" t="n"/>
    </row>
    <row r="338">
      <c r="F338" s="5" t="n"/>
      <c r="L338" s="5" t="n"/>
    </row>
    <row r="339">
      <c r="F339" s="5" t="n"/>
      <c r="L339" s="5" t="n"/>
    </row>
    <row r="340">
      <c r="F340" s="5" t="n"/>
      <c r="L340" s="5" t="n"/>
    </row>
    <row r="341">
      <c r="F341" s="5" t="n"/>
      <c r="L341" s="5" t="n"/>
    </row>
    <row r="342">
      <c r="F342" s="5" t="n"/>
      <c r="L342" s="5" t="n"/>
    </row>
    <row r="343">
      <c r="F343" s="5" t="n"/>
      <c r="L343" s="5" t="n"/>
    </row>
    <row r="344">
      <c r="F344" s="5" t="n"/>
      <c r="L344" s="5" t="n"/>
    </row>
    <row r="345">
      <c r="F345" s="5" t="n"/>
      <c r="L345" s="5" t="n"/>
    </row>
    <row r="346">
      <c r="F346" s="5" t="n"/>
      <c r="L346" s="5" t="n"/>
    </row>
    <row r="347">
      <c r="F347" s="5" t="n"/>
      <c r="L347" s="5" t="n"/>
    </row>
    <row r="348">
      <c r="F348" s="5" t="n"/>
      <c r="L348" s="5" t="n"/>
    </row>
    <row r="349">
      <c r="F349" s="5" t="n"/>
      <c r="L349" s="5" t="n"/>
    </row>
    <row r="350">
      <c r="F350" s="5" t="n"/>
      <c r="L350" s="5" t="n"/>
    </row>
    <row r="351">
      <c r="F351" s="5" t="n"/>
      <c r="L351" s="5" t="n"/>
    </row>
    <row r="352">
      <c r="F352" s="5" t="n"/>
      <c r="L352" s="5" t="n"/>
    </row>
    <row r="353">
      <c r="F353" s="5" t="n"/>
      <c r="L353" s="5" t="n"/>
    </row>
    <row r="354">
      <c r="F354" s="5" t="n"/>
      <c r="L354" s="5" t="n"/>
    </row>
    <row r="355">
      <c r="F355" s="5" t="n"/>
      <c r="L355" s="5" t="n"/>
    </row>
    <row r="356">
      <c r="F356" s="5" t="n"/>
      <c r="L356" s="5" t="n"/>
    </row>
    <row r="357">
      <c r="F357" s="5" t="n"/>
      <c r="L357" s="5" t="n"/>
    </row>
    <row r="358">
      <c r="F358" s="5" t="n"/>
      <c r="L358" s="5" t="n"/>
    </row>
    <row r="359">
      <c r="F359" s="5" t="n"/>
      <c r="L359" s="5" t="n"/>
    </row>
    <row r="360">
      <c r="F360" s="5" t="n"/>
      <c r="L360" s="5" t="n"/>
    </row>
    <row r="361">
      <c r="F361" s="5" t="n"/>
      <c r="L361" s="5" t="n"/>
    </row>
    <row r="362">
      <c r="F362" s="5" t="n"/>
      <c r="L362" s="5" t="n"/>
    </row>
    <row r="363">
      <c r="F363" s="5" t="n"/>
      <c r="L363" s="5" t="n"/>
    </row>
    <row r="364">
      <c r="F364" s="5" t="n"/>
      <c r="L364" s="5" t="n"/>
    </row>
    <row r="365">
      <c r="F365" s="5" t="n"/>
      <c r="L365" s="5" t="n"/>
    </row>
    <row r="366">
      <c r="F366" s="5" t="n"/>
      <c r="L366" s="5" t="n"/>
    </row>
    <row r="367">
      <c r="F367" s="5" t="n"/>
      <c r="L367" s="5" t="n"/>
    </row>
    <row r="368">
      <c r="F368" s="5" t="n"/>
      <c r="L368" s="5" t="n"/>
    </row>
    <row r="369">
      <c r="F369" s="5" t="n"/>
      <c r="L369" s="5" t="n"/>
    </row>
    <row r="370">
      <c r="F370" s="5" t="n"/>
      <c r="L370" s="5" t="n"/>
    </row>
    <row r="371">
      <c r="F371" s="5" t="n"/>
      <c r="L371" s="5" t="n"/>
    </row>
    <row r="372">
      <c r="F372" s="5" t="n"/>
      <c r="L372" s="5" t="n"/>
    </row>
    <row r="373">
      <c r="F373" s="5" t="n"/>
      <c r="L373" s="5" t="n"/>
    </row>
    <row r="374">
      <c r="F374" s="5" t="n"/>
      <c r="L374" s="5" t="n"/>
    </row>
    <row r="375">
      <c r="F375" s="5" t="n"/>
      <c r="L375" s="5" t="n"/>
    </row>
    <row r="376">
      <c r="F376" s="5" t="n"/>
      <c r="L376" s="5" t="n"/>
    </row>
    <row r="377">
      <c r="F377" s="5" t="n"/>
      <c r="L377" s="5" t="n"/>
    </row>
    <row r="378">
      <c r="F378" s="5" t="n"/>
      <c r="L378" s="5" t="n"/>
    </row>
    <row r="379">
      <c r="F379" s="5" t="n"/>
      <c r="L379" s="5" t="n"/>
    </row>
    <row r="380">
      <c r="F380" s="5" t="n"/>
      <c r="L380" s="5" t="n"/>
    </row>
    <row r="381">
      <c r="F381" s="5" t="n"/>
      <c r="L381" s="5" t="n"/>
    </row>
    <row r="382">
      <c r="F382" s="5" t="n"/>
      <c r="L382" s="5" t="n"/>
    </row>
    <row r="383">
      <c r="F383" s="5" t="n"/>
      <c r="L383" s="5" t="n"/>
    </row>
    <row r="384">
      <c r="F384" s="5" t="n"/>
      <c r="L384" s="5" t="n"/>
    </row>
    <row r="385">
      <c r="F385" s="5" t="n"/>
      <c r="L385" s="5" t="n"/>
    </row>
    <row r="386">
      <c r="F386" s="5" t="n"/>
      <c r="L386" s="5" t="n"/>
    </row>
    <row r="387">
      <c r="F387" s="5" t="n"/>
      <c r="L387" s="5" t="n"/>
    </row>
    <row r="388">
      <c r="F388" s="5" t="n"/>
      <c r="L388" s="5" t="n"/>
    </row>
    <row r="389">
      <c r="F389" s="5" t="n"/>
      <c r="L389" s="5" t="n"/>
    </row>
    <row r="390">
      <c r="F390" s="5" t="n"/>
      <c r="L390" s="5" t="n"/>
    </row>
    <row r="391">
      <c r="F391" s="5" t="n"/>
      <c r="L391" s="5" t="n"/>
    </row>
    <row r="392">
      <c r="F392" s="5" t="n"/>
      <c r="L392" s="5" t="n"/>
    </row>
    <row r="393">
      <c r="F393" s="5" t="n"/>
      <c r="L393" s="5" t="n"/>
    </row>
    <row r="394">
      <c r="F394" s="5" t="n"/>
      <c r="L394" s="5" t="n"/>
    </row>
    <row r="395">
      <c r="F395" s="5" t="n"/>
      <c r="L395" s="5" t="n"/>
    </row>
    <row r="396">
      <c r="F396" s="5" t="n"/>
      <c r="L396" s="5" t="n"/>
    </row>
    <row r="397">
      <c r="F397" s="5" t="n"/>
      <c r="L397" s="5" t="n"/>
    </row>
    <row r="398">
      <c r="F398" s="5" t="n"/>
      <c r="L398" s="5" t="n"/>
    </row>
    <row r="399">
      <c r="F399" s="5" t="n"/>
      <c r="L399" s="5" t="n"/>
    </row>
    <row r="400">
      <c r="F400" s="5" t="n"/>
      <c r="L400" s="5" t="n"/>
    </row>
    <row r="401">
      <c r="F401" s="5" t="n"/>
      <c r="L401" s="5" t="n"/>
    </row>
    <row r="402">
      <c r="F402" s="5" t="n"/>
      <c r="L402" s="5" t="n"/>
    </row>
    <row r="403">
      <c r="F403" s="5" t="n"/>
      <c r="L403" s="5" t="n"/>
    </row>
    <row r="404">
      <c r="F404" s="5" t="n"/>
      <c r="L404" s="5" t="n"/>
    </row>
    <row r="405">
      <c r="F405" s="5" t="n"/>
      <c r="L405" s="5" t="n"/>
    </row>
    <row r="406">
      <c r="F406" s="5" t="n"/>
      <c r="L406" s="5" t="n"/>
    </row>
    <row r="407">
      <c r="F407" s="5" t="n"/>
      <c r="L407" s="5" t="n"/>
    </row>
    <row r="408">
      <c r="F408" s="5" t="n"/>
      <c r="L408" s="5" t="n"/>
    </row>
    <row r="409">
      <c r="F409" s="5" t="n"/>
      <c r="L409" s="5" t="n"/>
    </row>
    <row r="410">
      <c r="F410" s="5" t="n"/>
      <c r="L410" s="5" t="n"/>
    </row>
    <row r="411">
      <c r="F411" s="5" t="n"/>
      <c r="L411" s="5" t="n"/>
    </row>
    <row r="412">
      <c r="F412" s="5" t="n"/>
      <c r="L412" s="5" t="n"/>
    </row>
    <row r="413">
      <c r="F413" s="5" t="n"/>
      <c r="L413" s="5" t="n"/>
    </row>
    <row r="414">
      <c r="F414" s="5" t="n"/>
      <c r="L414" s="5" t="n"/>
    </row>
    <row r="415">
      <c r="F415" s="5" t="n"/>
      <c r="L415" s="5" t="n"/>
    </row>
    <row r="416">
      <c r="F416" s="5" t="n"/>
      <c r="L416" s="5" t="n"/>
    </row>
    <row r="417">
      <c r="F417" s="5" t="n"/>
      <c r="L417" s="5" t="n"/>
    </row>
    <row r="418">
      <c r="F418" s="5" t="n"/>
      <c r="L418" s="5" t="n"/>
    </row>
    <row r="419">
      <c r="F419" s="5" t="n"/>
      <c r="L419" s="5" t="n"/>
    </row>
    <row r="420">
      <c r="F420" s="5" t="n"/>
      <c r="L420" s="5" t="n"/>
    </row>
    <row r="421">
      <c r="F421" s="5" t="n"/>
      <c r="L421" s="5" t="n"/>
    </row>
    <row r="422">
      <c r="F422" s="5" t="n"/>
      <c r="L422" s="5" t="n"/>
    </row>
    <row r="423">
      <c r="F423" s="5" t="n"/>
      <c r="L423" s="5" t="n"/>
    </row>
    <row r="424">
      <c r="F424" s="5" t="n"/>
      <c r="L424" s="5" t="n"/>
    </row>
    <row r="425">
      <c r="F425" s="5" t="n"/>
      <c r="L425" s="5" t="n"/>
    </row>
    <row r="426">
      <c r="F426" s="5" t="n"/>
      <c r="L426" s="5" t="n"/>
    </row>
    <row r="427">
      <c r="F427" s="5" t="n"/>
      <c r="L427" s="5" t="n"/>
    </row>
    <row r="428">
      <c r="F428" s="5" t="n"/>
      <c r="L428" s="5" t="n"/>
    </row>
    <row r="429">
      <c r="F429" s="5" t="n"/>
      <c r="L429" s="5" t="n"/>
    </row>
    <row r="430">
      <c r="F430" s="5" t="n"/>
      <c r="L430" s="5" t="n"/>
    </row>
    <row r="431">
      <c r="F431" s="5" t="n"/>
      <c r="L431" s="5" t="n"/>
    </row>
    <row r="432">
      <c r="F432" s="5" t="n"/>
      <c r="L432" s="5" t="n"/>
    </row>
    <row r="433">
      <c r="F433" s="5" t="n"/>
      <c r="L433" s="5" t="n"/>
    </row>
    <row r="434">
      <c r="F434" s="5" t="n"/>
      <c r="L434" s="5" t="n"/>
    </row>
    <row r="435">
      <c r="F435" s="5" t="n"/>
      <c r="L435" s="5" t="n"/>
    </row>
    <row r="436">
      <c r="F436" s="5" t="n"/>
      <c r="L436" s="5" t="n"/>
    </row>
    <row r="437">
      <c r="F437" s="5" t="n"/>
      <c r="L437" s="5" t="n"/>
    </row>
    <row r="438">
      <c r="F438" s="5" t="n"/>
      <c r="L438" s="5" t="n"/>
    </row>
    <row r="439">
      <c r="F439" s="5" t="n"/>
      <c r="L439" s="5" t="n"/>
    </row>
    <row r="440">
      <c r="F440" s="5" t="n"/>
      <c r="L440" s="5" t="n"/>
    </row>
    <row r="441">
      <c r="F441" s="5" t="n"/>
      <c r="L441" s="5" t="n"/>
    </row>
    <row r="442">
      <c r="F442" s="5" t="n"/>
      <c r="L442" s="5" t="n"/>
    </row>
    <row r="443">
      <c r="F443" s="5" t="n"/>
      <c r="L443" s="5" t="n"/>
    </row>
    <row r="444">
      <c r="F444" s="5" t="n"/>
      <c r="L444" s="5" t="n"/>
    </row>
    <row r="445">
      <c r="F445" s="5" t="n"/>
      <c r="L445" s="5" t="n"/>
    </row>
    <row r="446">
      <c r="F446" s="5" t="n"/>
      <c r="L446" s="5" t="n"/>
    </row>
    <row r="447">
      <c r="F447" s="5" t="n"/>
      <c r="L447" s="5" t="n"/>
    </row>
    <row r="448">
      <c r="F448" s="5" t="n"/>
      <c r="L448" s="5" t="n"/>
    </row>
    <row r="449">
      <c r="F449" s="5" t="n"/>
      <c r="L449" s="5" t="n"/>
    </row>
    <row r="450">
      <c r="F450" s="5" t="n"/>
      <c r="L450" s="5" t="n"/>
    </row>
    <row r="451">
      <c r="F451" s="5" t="n"/>
      <c r="L451" s="5" t="n"/>
    </row>
    <row r="452">
      <c r="F452" s="5" t="n"/>
      <c r="L452" s="5" t="n"/>
    </row>
    <row r="453">
      <c r="F453" s="5" t="n"/>
      <c r="L453" s="5" t="n"/>
    </row>
    <row r="454">
      <c r="F454" s="5" t="n"/>
      <c r="L454" s="5" t="n"/>
    </row>
    <row r="455">
      <c r="F455" s="5" t="n"/>
      <c r="L455" s="5" t="n"/>
    </row>
    <row r="456">
      <c r="F456" s="5" t="n"/>
      <c r="L456" s="5" t="n"/>
    </row>
    <row r="457">
      <c r="F457" s="5" t="n"/>
      <c r="L457" s="5" t="n"/>
    </row>
    <row r="458">
      <c r="F458" s="5" t="n"/>
      <c r="L458" s="5" t="n"/>
    </row>
    <row r="459">
      <c r="F459" s="5" t="n"/>
      <c r="L459" s="5" t="n"/>
    </row>
    <row r="460">
      <c r="F460" s="5" t="n"/>
      <c r="L460" s="5" t="n"/>
    </row>
    <row r="461">
      <c r="F461" s="5" t="n"/>
      <c r="L461" s="5" t="n"/>
    </row>
    <row r="462">
      <c r="F462" s="5" t="n"/>
      <c r="L462" s="5" t="n"/>
    </row>
    <row r="463">
      <c r="F463" s="5" t="n"/>
      <c r="L463" s="5" t="n"/>
    </row>
    <row r="464">
      <c r="F464" s="5" t="n"/>
      <c r="L464" s="5" t="n"/>
    </row>
    <row r="465">
      <c r="F465" s="5" t="n"/>
      <c r="L465" s="5" t="n"/>
    </row>
    <row r="466">
      <c r="F466" s="5" t="n"/>
      <c r="L466" s="5" t="n"/>
    </row>
    <row r="467">
      <c r="F467" s="5" t="n"/>
      <c r="L467" s="5" t="n"/>
    </row>
    <row r="468">
      <c r="F468" s="5" t="n"/>
      <c r="L468" s="5" t="n"/>
    </row>
    <row r="469">
      <c r="F469" s="5" t="n"/>
      <c r="L469" s="5" t="n"/>
    </row>
    <row r="470">
      <c r="F470" s="5" t="n"/>
      <c r="L470" s="5" t="n"/>
    </row>
    <row r="471">
      <c r="F471" s="5" t="n"/>
      <c r="L471" s="5" t="n"/>
    </row>
    <row r="472">
      <c r="F472" s="5" t="n"/>
      <c r="L472" s="5" t="n"/>
    </row>
    <row r="473">
      <c r="F473" s="5" t="n"/>
      <c r="L473" s="5" t="n"/>
    </row>
    <row r="474">
      <c r="F474" s="5" t="n"/>
      <c r="L474" s="5" t="n"/>
    </row>
    <row r="475">
      <c r="F475" s="5" t="n"/>
      <c r="L475" s="5" t="n"/>
    </row>
    <row r="476">
      <c r="F476" s="5" t="n"/>
      <c r="L476" s="5" t="n"/>
    </row>
    <row r="477">
      <c r="F477" s="5" t="n"/>
      <c r="L477" s="5" t="n"/>
    </row>
    <row r="478">
      <c r="F478" s="5" t="n"/>
      <c r="L478" s="5" t="n"/>
    </row>
    <row r="479">
      <c r="F479" s="5" t="n"/>
      <c r="L479" s="5" t="n"/>
    </row>
    <row r="480">
      <c r="F480" s="5" t="n"/>
      <c r="L480" s="5" t="n"/>
    </row>
    <row r="481">
      <c r="F481" s="5" t="n"/>
      <c r="L481" s="5" t="n"/>
    </row>
    <row r="482">
      <c r="F482" s="5" t="n"/>
      <c r="L482" s="5" t="n"/>
    </row>
    <row r="483">
      <c r="F483" s="5" t="n"/>
      <c r="L483" s="5" t="n"/>
    </row>
    <row r="484">
      <c r="F484" s="5" t="n"/>
      <c r="L484" s="5" t="n"/>
    </row>
    <row r="485">
      <c r="F485" s="5" t="n"/>
      <c r="L485" s="5" t="n"/>
    </row>
    <row r="486">
      <c r="F486" s="5" t="n"/>
      <c r="L486" s="5" t="n"/>
    </row>
    <row r="487">
      <c r="F487" s="5" t="n"/>
      <c r="L487" s="5" t="n"/>
    </row>
    <row r="488">
      <c r="F488" s="5" t="n"/>
      <c r="L488" s="5" t="n"/>
    </row>
    <row r="489">
      <c r="F489" s="5" t="n"/>
      <c r="L489" s="5" t="n"/>
    </row>
    <row r="490">
      <c r="F490" s="5" t="n"/>
      <c r="L490" s="5" t="n"/>
    </row>
    <row r="491">
      <c r="F491" s="5" t="n"/>
      <c r="L491" s="5" t="n"/>
    </row>
    <row r="492">
      <c r="F492" s="5" t="n"/>
      <c r="L492" s="5" t="n"/>
    </row>
    <row r="493">
      <c r="F493" s="5" t="n"/>
      <c r="L493" s="5" t="n"/>
    </row>
    <row r="494">
      <c r="F494" s="5" t="n"/>
      <c r="L494" s="5" t="n"/>
    </row>
    <row r="495">
      <c r="F495" s="5" t="n"/>
      <c r="L495" s="5" t="n"/>
    </row>
    <row r="496">
      <c r="F496" s="5" t="n"/>
      <c r="L496" s="5" t="n"/>
    </row>
    <row r="497">
      <c r="F497" s="5" t="n"/>
      <c r="L497" s="5" t="n"/>
    </row>
    <row r="498">
      <c r="F498" s="5" t="n"/>
      <c r="L498" s="5" t="n"/>
    </row>
    <row r="499">
      <c r="F499" s="5" t="n"/>
      <c r="L499" s="5" t="n"/>
    </row>
    <row r="500">
      <c r="F500" s="5" t="n"/>
      <c r="L500" s="5" t="n"/>
    </row>
    <row r="501">
      <c r="F501" s="5" t="n"/>
      <c r="L501" s="5" t="n"/>
    </row>
  </sheetData>
  <autoFilter ref="A1:M501"/>
  <dataValidations count="1">
    <dataValidation sqref="J2:J501" showDropDown="0" showInputMessage="0" showErrorMessage="0" allowBlank="1" type="list">
      <formula1>"รออนุมัติ,อนุมัติ,ไม่อนุมัติ"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M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8" customWidth="1" min="4" max="4"/>
    <col width="18" customWidth="1" min="5" max="5"/>
    <col width="30" customWidth="1" min="6" max="6"/>
    <col width="16" customWidth="1" min="7" max="7"/>
    <col width="16" customWidth="1" min="8" max="8"/>
    <col width="18" customWidth="1" min="9" max="9"/>
    <col width="24" customWidth="1" min="10" max="10"/>
    <col width="18" customWidth="1" min="11" max="11"/>
    <col width="24" customWidth="1" min="12" max="12"/>
    <col width="36" customWidth="1" min="13" max="13"/>
  </cols>
  <sheetData>
    <row r="1" ht="32" customHeight="1">
      <c r="A1" s="4" t="inlineStr">
        <is>
          <t>Redemption_ID</t>
        </is>
      </c>
      <c r="B1" s="4" t="inlineStr">
        <is>
          <t>ปีการศึกษา</t>
        </is>
      </c>
      <c r="C1" s="4" t="inlineStr">
        <is>
          <t>รหัสนักศึกษา</t>
        </is>
      </c>
      <c r="D1" s="4" t="inlineStr">
        <is>
          <t>ชื่อ-สกุล</t>
        </is>
      </c>
      <c r="E1" s="4" t="inlineStr">
        <is>
          <t>ระดับรางวัล</t>
        </is>
      </c>
      <c r="F1" s="4" t="inlineStr">
        <is>
          <t>รางวัลที่เลือก</t>
        </is>
      </c>
      <c r="G1" s="4" t="inlineStr">
        <is>
          <t>ดาวที่ต้องใช้</t>
        </is>
      </c>
      <c r="H1" s="4" t="inlineStr">
        <is>
          <t>วันที่ขอ</t>
        </is>
      </c>
      <c r="I1" s="4" t="inlineStr">
        <is>
          <t>สถานะ</t>
        </is>
      </c>
      <c r="J1" s="4" t="inlineStr">
        <is>
          <t>ผู้อนุมัติ</t>
        </is>
      </c>
      <c r="K1" s="4" t="inlineStr">
        <is>
          <t>วันที่ส่งมอบ</t>
        </is>
      </c>
      <c r="L1" s="4" t="inlineStr">
        <is>
          <t>ตรวจยอดระบบหลักแล้ว?</t>
        </is>
      </c>
      <c r="M1" s="4" t="inlineStr">
        <is>
          <t>หมายเหตุ</t>
        </is>
      </c>
    </row>
    <row r="2">
      <c r="A2" t="inlineStr">
        <is>
          <t>RED-0001</t>
        </is>
      </c>
      <c r="B2" t="inlineStr">
        <is>
          <t>2569</t>
        </is>
      </c>
      <c r="C2" t="inlineStr">
        <is>
          <t>DEMO0001</t>
        </is>
      </c>
      <c r="D2" t="inlineStr">
        <is>
          <t>นักศึกษาตัวอย่าง</t>
        </is>
      </c>
      <c r="E2" t="inlineStr">
        <is>
          <t>ระดับตัวอย่าง</t>
        </is>
      </c>
      <c r="F2" t="inlineStr">
        <is>
          <t>กระบอกน้ำ MedExplore</t>
        </is>
      </c>
      <c r="G2" t="n">
        <v>5</v>
      </c>
      <c r="H2" s="5" t="n">
        <v>46308</v>
      </c>
      <c r="I2" t="inlineStr">
        <is>
          <t>รอตรวจสอบ</t>
        </is>
      </c>
      <c r="J2" t="inlineStr"/>
      <c r="K2" s="5" t="inlineStr"/>
      <c r="L2" t="inlineStr">
        <is>
          <t>ยังไม่ตรวจ</t>
        </is>
      </c>
      <c r="M2" t="inlineStr">
        <is>
          <t>ข้อมูลสมมติ; ต้องตรวจยอดดาวในระบบหลักก่อนอนุมัติ</t>
        </is>
      </c>
    </row>
    <row r="3">
      <c r="H3" s="5" t="n"/>
      <c r="K3" s="5" t="n"/>
    </row>
    <row r="4">
      <c r="H4" s="5" t="n"/>
      <c r="K4" s="5" t="n"/>
    </row>
    <row r="5">
      <c r="H5" s="5" t="n"/>
      <c r="K5" s="5" t="n"/>
    </row>
    <row r="6">
      <c r="H6" s="5" t="n"/>
      <c r="K6" s="5" t="n"/>
    </row>
    <row r="7">
      <c r="H7" s="5" t="n"/>
      <c r="K7" s="5" t="n"/>
    </row>
    <row r="8">
      <c r="H8" s="5" t="n"/>
      <c r="K8" s="5" t="n"/>
    </row>
    <row r="9">
      <c r="H9" s="5" t="n"/>
      <c r="K9" s="5" t="n"/>
    </row>
    <row r="10">
      <c r="H10" s="5" t="n"/>
      <c r="K10" s="5" t="n"/>
    </row>
    <row r="11">
      <c r="H11" s="5" t="n"/>
      <c r="K11" s="5" t="n"/>
    </row>
    <row r="12">
      <c r="H12" s="5" t="n"/>
      <c r="K12" s="5" t="n"/>
    </row>
    <row r="13">
      <c r="H13" s="5" t="n"/>
      <c r="K13" s="5" t="n"/>
    </row>
    <row r="14">
      <c r="H14" s="5" t="n"/>
      <c r="K14" s="5" t="n"/>
    </row>
    <row r="15">
      <c r="H15" s="5" t="n"/>
      <c r="K15" s="5" t="n"/>
    </row>
    <row r="16">
      <c r="H16" s="5" t="n"/>
      <c r="K16" s="5" t="n"/>
    </row>
    <row r="17">
      <c r="H17" s="5" t="n"/>
      <c r="K17" s="5" t="n"/>
    </row>
    <row r="18">
      <c r="H18" s="5" t="n"/>
      <c r="K18" s="5" t="n"/>
    </row>
    <row r="19">
      <c r="H19" s="5" t="n"/>
      <c r="K19" s="5" t="n"/>
    </row>
    <row r="20">
      <c r="H20" s="5" t="n"/>
      <c r="K20" s="5" t="n"/>
    </row>
    <row r="21">
      <c r="H21" s="5" t="n"/>
      <c r="K21" s="5" t="n"/>
    </row>
    <row r="22">
      <c r="H22" s="5" t="n"/>
      <c r="K22" s="5" t="n"/>
    </row>
    <row r="23">
      <c r="H23" s="5" t="n"/>
      <c r="K23" s="5" t="n"/>
    </row>
    <row r="24">
      <c r="H24" s="5" t="n"/>
      <c r="K24" s="5" t="n"/>
    </row>
    <row r="25">
      <c r="H25" s="5" t="n"/>
      <c r="K25" s="5" t="n"/>
    </row>
    <row r="26">
      <c r="H26" s="5" t="n"/>
      <c r="K26" s="5" t="n"/>
    </row>
    <row r="27">
      <c r="H27" s="5" t="n"/>
      <c r="K27" s="5" t="n"/>
    </row>
    <row r="28">
      <c r="H28" s="5" t="n"/>
      <c r="K28" s="5" t="n"/>
    </row>
    <row r="29">
      <c r="H29" s="5" t="n"/>
      <c r="K29" s="5" t="n"/>
    </row>
    <row r="30">
      <c r="H30" s="5" t="n"/>
      <c r="K30" s="5" t="n"/>
    </row>
    <row r="31">
      <c r="H31" s="5" t="n"/>
      <c r="K31" s="5" t="n"/>
    </row>
    <row r="32">
      <c r="H32" s="5" t="n"/>
      <c r="K32" s="5" t="n"/>
    </row>
    <row r="33">
      <c r="H33" s="5" t="n"/>
      <c r="K33" s="5" t="n"/>
    </row>
    <row r="34">
      <c r="H34" s="5" t="n"/>
      <c r="K34" s="5" t="n"/>
    </row>
    <row r="35">
      <c r="H35" s="5" t="n"/>
      <c r="K35" s="5" t="n"/>
    </row>
    <row r="36">
      <c r="H36" s="5" t="n"/>
      <c r="K36" s="5" t="n"/>
    </row>
    <row r="37">
      <c r="H37" s="5" t="n"/>
      <c r="K37" s="5" t="n"/>
    </row>
    <row r="38">
      <c r="H38" s="5" t="n"/>
      <c r="K38" s="5" t="n"/>
    </row>
    <row r="39">
      <c r="H39" s="5" t="n"/>
      <c r="K39" s="5" t="n"/>
    </row>
    <row r="40">
      <c r="H40" s="5" t="n"/>
      <c r="K40" s="5" t="n"/>
    </row>
    <row r="41">
      <c r="H41" s="5" t="n"/>
      <c r="K41" s="5" t="n"/>
    </row>
    <row r="42">
      <c r="H42" s="5" t="n"/>
      <c r="K42" s="5" t="n"/>
    </row>
    <row r="43">
      <c r="H43" s="5" t="n"/>
      <c r="K43" s="5" t="n"/>
    </row>
    <row r="44">
      <c r="H44" s="5" t="n"/>
      <c r="K44" s="5" t="n"/>
    </row>
    <row r="45">
      <c r="H45" s="5" t="n"/>
      <c r="K45" s="5" t="n"/>
    </row>
    <row r="46">
      <c r="H46" s="5" t="n"/>
      <c r="K46" s="5" t="n"/>
    </row>
    <row r="47">
      <c r="H47" s="5" t="n"/>
      <c r="K47" s="5" t="n"/>
    </row>
    <row r="48">
      <c r="H48" s="5" t="n"/>
      <c r="K48" s="5" t="n"/>
    </row>
    <row r="49">
      <c r="H49" s="5" t="n"/>
      <c r="K49" s="5" t="n"/>
    </row>
    <row r="50">
      <c r="H50" s="5" t="n"/>
      <c r="K50" s="5" t="n"/>
    </row>
    <row r="51">
      <c r="H51" s="5" t="n"/>
      <c r="K51" s="5" t="n"/>
    </row>
    <row r="52">
      <c r="H52" s="5" t="n"/>
      <c r="K52" s="5" t="n"/>
    </row>
    <row r="53">
      <c r="H53" s="5" t="n"/>
      <c r="K53" s="5" t="n"/>
    </row>
    <row r="54">
      <c r="H54" s="5" t="n"/>
      <c r="K54" s="5" t="n"/>
    </row>
    <row r="55">
      <c r="H55" s="5" t="n"/>
      <c r="K55" s="5" t="n"/>
    </row>
    <row r="56">
      <c r="H56" s="5" t="n"/>
      <c r="K56" s="5" t="n"/>
    </row>
    <row r="57">
      <c r="H57" s="5" t="n"/>
      <c r="K57" s="5" t="n"/>
    </row>
    <row r="58">
      <c r="H58" s="5" t="n"/>
      <c r="K58" s="5" t="n"/>
    </row>
    <row r="59">
      <c r="H59" s="5" t="n"/>
      <c r="K59" s="5" t="n"/>
    </row>
    <row r="60">
      <c r="H60" s="5" t="n"/>
      <c r="K60" s="5" t="n"/>
    </row>
    <row r="61">
      <c r="H61" s="5" t="n"/>
      <c r="K61" s="5" t="n"/>
    </row>
    <row r="62">
      <c r="H62" s="5" t="n"/>
      <c r="K62" s="5" t="n"/>
    </row>
    <row r="63">
      <c r="H63" s="5" t="n"/>
      <c r="K63" s="5" t="n"/>
    </row>
    <row r="64">
      <c r="H64" s="5" t="n"/>
      <c r="K64" s="5" t="n"/>
    </row>
    <row r="65">
      <c r="H65" s="5" t="n"/>
      <c r="K65" s="5" t="n"/>
    </row>
    <row r="66">
      <c r="H66" s="5" t="n"/>
      <c r="K66" s="5" t="n"/>
    </row>
    <row r="67">
      <c r="H67" s="5" t="n"/>
      <c r="K67" s="5" t="n"/>
    </row>
    <row r="68">
      <c r="H68" s="5" t="n"/>
      <c r="K68" s="5" t="n"/>
    </row>
    <row r="69">
      <c r="H69" s="5" t="n"/>
      <c r="K69" s="5" t="n"/>
    </row>
    <row r="70">
      <c r="H70" s="5" t="n"/>
      <c r="K70" s="5" t="n"/>
    </row>
    <row r="71">
      <c r="H71" s="5" t="n"/>
      <c r="K71" s="5" t="n"/>
    </row>
    <row r="72">
      <c r="H72" s="5" t="n"/>
      <c r="K72" s="5" t="n"/>
    </row>
    <row r="73">
      <c r="H73" s="5" t="n"/>
      <c r="K73" s="5" t="n"/>
    </row>
    <row r="74">
      <c r="H74" s="5" t="n"/>
      <c r="K74" s="5" t="n"/>
    </row>
    <row r="75">
      <c r="H75" s="5" t="n"/>
      <c r="K75" s="5" t="n"/>
    </row>
    <row r="76">
      <c r="H76" s="5" t="n"/>
      <c r="K76" s="5" t="n"/>
    </row>
    <row r="77">
      <c r="H77" s="5" t="n"/>
      <c r="K77" s="5" t="n"/>
    </row>
    <row r="78">
      <c r="H78" s="5" t="n"/>
      <c r="K78" s="5" t="n"/>
    </row>
    <row r="79">
      <c r="H79" s="5" t="n"/>
      <c r="K79" s="5" t="n"/>
    </row>
    <row r="80">
      <c r="H80" s="5" t="n"/>
      <c r="K80" s="5" t="n"/>
    </row>
    <row r="81">
      <c r="H81" s="5" t="n"/>
      <c r="K81" s="5" t="n"/>
    </row>
    <row r="82">
      <c r="H82" s="5" t="n"/>
      <c r="K82" s="5" t="n"/>
    </row>
    <row r="83">
      <c r="H83" s="5" t="n"/>
      <c r="K83" s="5" t="n"/>
    </row>
    <row r="84">
      <c r="H84" s="5" t="n"/>
      <c r="K84" s="5" t="n"/>
    </row>
    <row r="85">
      <c r="H85" s="5" t="n"/>
      <c r="K85" s="5" t="n"/>
    </row>
    <row r="86">
      <c r="H86" s="5" t="n"/>
      <c r="K86" s="5" t="n"/>
    </row>
    <row r="87">
      <c r="H87" s="5" t="n"/>
      <c r="K87" s="5" t="n"/>
    </row>
    <row r="88">
      <c r="H88" s="5" t="n"/>
      <c r="K88" s="5" t="n"/>
    </row>
    <row r="89">
      <c r="H89" s="5" t="n"/>
      <c r="K89" s="5" t="n"/>
    </row>
    <row r="90">
      <c r="H90" s="5" t="n"/>
      <c r="K90" s="5" t="n"/>
    </row>
    <row r="91">
      <c r="H91" s="5" t="n"/>
      <c r="K91" s="5" t="n"/>
    </row>
    <row r="92">
      <c r="H92" s="5" t="n"/>
      <c r="K92" s="5" t="n"/>
    </row>
    <row r="93">
      <c r="H93" s="5" t="n"/>
      <c r="K93" s="5" t="n"/>
    </row>
    <row r="94">
      <c r="H94" s="5" t="n"/>
      <c r="K94" s="5" t="n"/>
    </row>
    <row r="95">
      <c r="H95" s="5" t="n"/>
      <c r="K95" s="5" t="n"/>
    </row>
    <row r="96">
      <c r="H96" s="5" t="n"/>
      <c r="K96" s="5" t="n"/>
    </row>
    <row r="97">
      <c r="H97" s="5" t="n"/>
      <c r="K97" s="5" t="n"/>
    </row>
    <row r="98">
      <c r="H98" s="5" t="n"/>
      <c r="K98" s="5" t="n"/>
    </row>
    <row r="99">
      <c r="H99" s="5" t="n"/>
      <c r="K99" s="5" t="n"/>
    </row>
    <row r="100">
      <c r="H100" s="5" t="n"/>
      <c r="K100" s="5" t="n"/>
    </row>
    <row r="101">
      <c r="H101" s="5" t="n"/>
      <c r="K101" s="5" t="n"/>
    </row>
    <row r="102">
      <c r="H102" s="5" t="n"/>
      <c r="K102" s="5" t="n"/>
    </row>
    <row r="103">
      <c r="H103" s="5" t="n"/>
      <c r="K103" s="5" t="n"/>
    </row>
    <row r="104">
      <c r="H104" s="5" t="n"/>
      <c r="K104" s="5" t="n"/>
    </row>
    <row r="105">
      <c r="H105" s="5" t="n"/>
      <c r="K105" s="5" t="n"/>
    </row>
    <row r="106">
      <c r="H106" s="5" t="n"/>
      <c r="K106" s="5" t="n"/>
    </row>
    <row r="107">
      <c r="H107" s="5" t="n"/>
      <c r="K107" s="5" t="n"/>
    </row>
    <row r="108">
      <c r="H108" s="5" t="n"/>
      <c r="K108" s="5" t="n"/>
    </row>
    <row r="109">
      <c r="H109" s="5" t="n"/>
      <c r="K109" s="5" t="n"/>
    </row>
    <row r="110">
      <c r="H110" s="5" t="n"/>
      <c r="K110" s="5" t="n"/>
    </row>
    <row r="111">
      <c r="H111" s="5" t="n"/>
      <c r="K111" s="5" t="n"/>
    </row>
    <row r="112">
      <c r="H112" s="5" t="n"/>
      <c r="K112" s="5" t="n"/>
    </row>
    <row r="113">
      <c r="H113" s="5" t="n"/>
      <c r="K113" s="5" t="n"/>
    </row>
    <row r="114">
      <c r="H114" s="5" t="n"/>
      <c r="K114" s="5" t="n"/>
    </row>
    <row r="115">
      <c r="H115" s="5" t="n"/>
      <c r="K115" s="5" t="n"/>
    </row>
    <row r="116">
      <c r="H116" s="5" t="n"/>
      <c r="K116" s="5" t="n"/>
    </row>
    <row r="117">
      <c r="H117" s="5" t="n"/>
      <c r="K117" s="5" t="n"/>
    </row>
    <row r="118">
      <c r="H118" s="5" t="n"/>
      <c r="K118" s="5" t="n"/>
    </row>
    <row r="119">
      <c r="H119" s="5" t="n"/>
      <c r="K119" s="5" t="n"/>
    </row>
    <row r="120">
      <c r="H120" s="5" t="n"/>
      <c r="K120" s="5" t="n"/>
    </row>
    <row r="121">
      <c r="H121" s="5" t="n"/>
      <c r="K121" s="5" t="n"/>
    </row>
    <row r="122">
      <c r="H122" s="5" t="n"/>
      <c r="K122" s="5" t="n"/>
    </row>
    <row r="123">
      <c r="H123" s="5" t="n"/>
      <c r="K123" s="5" t="n"/>
    </row>
    <row r="124">
      <c r="H124" s="5" t="n"/>
      <c r="K124" s="5" t="n"/>
    </row>
    <row r="125">
      <c r="H125" s="5" t="n"/>
      <c r="K125" s="5" t="n"/>
    </row>
    <row r="126">
      <c r="H126" s="5" t="n"/>
      <c r="K126" s="5" t="n"/>
    </row>
    <row r="127">
      <c r="H127" s="5" t="n"/>
      <c r="K127" s="5" t="n"/>
    </row>
    <row r="128">
      <c r="H128" s="5" t="n"/>
      <c r="K128" s="5" t="n"/>
    </row>
    <row r="129">
      <c r="H129" s="5" t="n"/>
      <c r="K129" s="5" t="n"/>
    </row>
    <row r="130">
      <c r="H130" s="5" t="n"/>
      <c r="K130" s="5" t="n"/>
    </row>
    <row r="131">
      <c r="H131" s="5" t="n"/>
      <c r="K131" s="5" t="n"/>
    </row>
    <row r="132">
      <c r="H132" s="5" t="n"/>
      <c r="K132" s="5" t="n"/>
    </row>
    <row r="133">
      <c r="H133" s="5" t="n"/>
      <c r="K133" s="5" t="n"/>
    </row>
    <row r="134">
      <c r="H134" s="5" t="n"/>
      <c r="K134" s="5" t="n"/>
    </row>
    <row r="135">
      <c r="H135" s="5" t="n"/>
      <c r="K135" s="5" t="n"/>
    </row>
    <row r="136">
      <c r="H136" s="5" t="n"/>
      <c r="K136" s="5" t="n"/>
    </row>
    <row r="137">
      <c r="H137" s="5" t="n"/>
      <c r="K137" s="5" t="n"/>
    </row>
    <row r="138">
      <c r="H138" s="5" t="n"/>
      <c r="K138" s="5" t="n"/>
    </row>
    <row r="139">
      <c r="H139" s="5" t="n"/>
      <c r="K139" s="5" t="n"/>
    </row>
    <row r="140">
      <c r="H140" s="5" t="n"/>
      <c r="K140" s="5" t="n"/>
    </row>
    <row r="141">
      <c r="H141" s="5" t="n"/>
      <c r="K141" s="5" t="n"/>
    </row>
    <row r="142">
      <c r="H142" s="5" t="n"/>
      <c r="K142" s="5" t="n"/>
    </row>
    <row r="143">
      <c r="H143" s="5" t="n"/>
      <c r="K143" s="5" t="n"/>
    </row>
    <row r="144">
      <c r="H144" s="5" t="n"/>
      <c r="K144" s="5" t="n"/>
    </row>
    <row r="145">
      <c r="H145" s="5" t="n"/>
      <c r="K145" s="5" t="n"/>
    </row>
    <row r="146">
      <c r="H146" s="5" t="n"/>
      <c r="K146" s="5" t="n"/>
    </row>
    <row r="147">
      <c r="H147" s="5" t="n"/>
      <c r="K147" s="5" t="n"/>
    </row>
    <row r="148">
      <c r="H148" s="5" t="n"/>
      <c r="K148" s="5" t="n"/>
    </row>
    <row r="149">
      <c r="H149" s="5" t="n"/>
      <c r="K149" s="5" t="n"/>
    </row>
    <row r="150">
      <c r="H150" s="5" t="n"/>
      <c r="K150" s="5" t="n"/>
    </row>
    <row r="151">
      <c r="H151" s="5" t="n"/>
      <c r="K151" s="5" t="n"/>
    </row>
    <row r="152">
      <c r="H152" s="5" t="n"/>
      <c r="K152" s="5" t="n"/>
    </row>
    <row r="153">
      <c r="H153" s="5" t="n"/>
      <c r="K153" s="5" t="n"/>
    </row>
    <row r="154">
      <c r="H154" s="5" t="n"/>
      <c r="K154" s="5" t="n"/>
    </row>
    <row r="155">
      <c r="H155" s="5" t="n"/>
      <c r="K155" s="5" t="n"/>
    </row>
    <row r="156">
      <c r="H156" s="5" t="n"/>
      <c r="K156" s="5" t="n"/>
    </row>
    <row r="157">
      <c r="H157" s="5" t="n"/>
      <c r="K157" s="5" t="n"/>
    </row>
    <row r="158">
      <c r="H158" s="5" t="n"/>
      <c r="K158" s="5" t="n"/>
    </row>
    <row r="159">
      <c r="H159" s="5" t="n"/>
      <c r="K159" s="5" t="n"/>
    </row>
    <row r="160">
      <c r="H160" s="5" t="n"/>
      <c r="K160" s="5" t="n"/>
    </row>
    <row r="161">
      <c r="H161" s="5" t="n"/>
      <c r="K161" s="5" t="n"/>
    </row>
    <row r="162">
      <c r="H162" s="5" t="n"/>
      <c r="K162" s="5" t="n"/>
    </row>
    <row r="163">
      <c r="H163" s="5" t="n"/>
      <c r="K163" s="5" t="n"/>
    </row>
    <row r="164">
      <c r="H164" s="5" t="n"/>
      <c r="K164" s="5" t="n"/>
    </row>
    <row r="165">
      <c r="H165" s="5" t="n"/>
      <c r="K165" s="5" t="n"/>
    </row>
    <row r="166">
      <c r="H166" s="5" t="n"/>
      <c r="K166" s="5" t="n"/>
    </row>
    <row r="167">
      <c r="H167" s="5" t="n"/>
      <c r="K167" s="5" t="n"/>
    </row>
    <row r="168">
      <c r="H168" s="5" t="n"/>
      <c r="K168" s="5" t="n"/>
    </row>
    <row r="169">
      <c r="H169" s="5" t="n"/>
      <c r="K169" s="5" t="n"/>
    </row>
    <row r="170">
      <c r="H170" s="5" t="n"/>
      <c r="K170" s="5" t="n"/>
    </row>
    <row r="171">
      <c r="H171" s="5" t="n"/>
      <c r="K171" s="5" t="n"/>
    </row>
    <row r="172">
      <c r="H172" s="5" t="n"/>
      <c r="K172" s="5" t="n"/>
    </row>
    <row r="173">
      <c r="H173" s="5" t="n"/>
      <c r="K173" s="5" t="n"/>
    </row>
    <row r="174">
      <c r="H174" s="5" t="n"/>
      <c r="K174" s="5" t="n"/>
    </row>
    <row r="175">
      <c r="H175" s="5" t="n"/>
      <c r="K175" s="5" t="n"/>
    </row>
    <row r="176">
      <c r="H176" s="5" t="n"/>
      <c r="K176" s="5" t="n"/>
    </row>
    <row r="177">
      <c r="H177" s="5" t="n"/>
      <c r="K177" s="5" t="n"/>
    </row>
    <row r="178">
      <c r="H178" s="5" t="n"/>
      <c r="K178" s="5" t="n"/>
    </row>
    <row r="179">
      <c r="H179" s="5" t="n"/>
      <c r="K179" s="5" t="n"/>
    </row>
    <row r="180">
      <c r="H180" s="5" t="n"/>
      <c r="K180" s="5" t="n"/>
    </row>
    <row r="181">
      <c r="H181" s="5" t="n"/>
      <c r="K181" s="5" t="n"/>
    </row>
    <row r="182">
      <c r="H182" s="5" t="n"/>
      <c r="K182" s="5" t="n"/>
    </row>
    <row r="183">
      <c r="H183" s="5" t="n"/>
      <c r="K183" s="5" t="n"/>
    </row>
    <row r="184">
      <c r="H184" s="5" t="n"/>
      <c r="K184" s="5" t="n"/>
    </row>
    <row r="185">
      <c r="H185" s="5" t="n"/>
      <c r="K185" s="5" t="n"/>
    </row>
    <row r="186">
      <c r="H186" s="5" t="n"/>
      <c r="K186" s="5" t="n"/>
    </row>
    <row r="187">
      <c r="H187" s="5" t="n"/>
      <c r="K187" s="5" t="n"/>
    </row>
    <row r="188">
      <c r="H188" s="5" t="n"/>
      <c r="K188" s="5" t="n"/>
    </row>
    <row r="189">
      <c r="H189" s="5" t="n"/>
      <c r="K189" s="5" t="n"/>
    </row>
    <row r="190">
      <c r="H190" s="5" t="n"/>
      <c r="K190" s="5" t="n"/>
    </row>
    <row r="191">
      <c r="H191" s="5" t="n"/>
      <c r="K191" s="5" t="n"/>
    </row>
    <row r="192">
      <c r="H192" s="5" t="n"/>
      <c r="K192" s="5" t="n"/>
    </row>
    <row r="193">
      <c r="H193" s="5" t="n"/>
      <c r="K193" s="5" t="n"/>
    </row>
    <row r="194">
      <c r="H194" s="5" t="n"/>
      <c r="K194" s="5" t="n"/>
    </row>
    <row r="195">
      <c r="H195" s="5" t="n"/>
      <c r="K195" s="5" t="n"/>
    </row>
    <row r="196">
      <c r="H196" s="5" t="n"/>
      <c r="K196" s="5" t="n"/>
    </row>
    <row r="197">
      <c r="H197" s="5" t="n"/>
      <c r="K197" s="5" t="n"/>
    </row>
    <row r="198">
      <c r="H198" s="5" t="n"/>
      <c r="K198" s="5" t="n"/>
    </row>
    <row r="199">
      <c r="H199" s="5" t="n"/>
      <c r="K199" s="5" t="n"/>
    </row>
    <row r="200">
      <c r="H200" s="5" t="n"/>
      <c r="K200" s="5" t="n"/>
    </row>
    <row r="201">
      <c r="H201" s="5" t="n"/>
      <c r="K201" s="5" t="n"/>
    </row>
    <row r="202">
      <c r="H202" s="5" t="n"/>
      <c r="K202" s="5" t="n"/>
    </row>
    <row r="203">
      <c r="H203" s="5" t="n"/>
      <c r="K203" s="5" t="n"/>
    </row>
    <row r="204">
      <c r="H204" s="5" t="n"/>
      <c r="K204" s="5" t="n"/>
    </row>
    <row r="205">
      <c r="H205" s="5" t="n"/>
      <c r="K205" s="5" t="n"/>
    </row>
    <row r="206">
      <c r="H206" s="5" t="n"/>
      <c r="K206" s="5" t="n"/>
    </row>
    <row r="207">
      <c r="H207" s="5" t="n"/>
      <c r="K207" s="5" t="n"/>
    </row>
    <row r="208">
      <c r="H208" s="5" t="n"/>
      <c r="K208" s="5" t="n"/>
    </row>
    <row r="209">
      <c r="H209" s="5" t="n"/>
      <c r="K209" s="5" t="n"/>
    </row>
    <row r="210">
      <c r="H210" s="5" t="n"/>
      <c r="K210" s="5" t="n"/>
    </row>
    <row r="211">
      <c r="H211" s="5" t="n"/>
      <c r="K211" s="5" t="n"/>
    </row>
    <row r="212">
      <c r="H212" s="5" t="n"/>
      <c r="K212" s="5" t="n"/>
    </row>
    <row r="213">
      <c r="H213" s="5" t="n"/>
      <c r="K213" s="5" t="n"/>
    </row>
    <row r="214">
      <c r="H214" s="5" t="n"/>
      <c r="K214" s="5" t="n"/>
    </row>
    <row r="215">
      <c r="H215" s="5" t="n"/>
      <c r="K215" s="5" t="n"/>
    </row>
    <row r="216">
      <c r="H216" s="5" t="n"/>
      <c r="K216" s="5" t="n"/>
    </row>
    <row r="217">
      <c r="H217" s="5" t="n"/>
      <c r="K217" s="5" t="n"/>
    </row>
    <row r="218">
      <c r="H218" s="5" t="n"/>
      <c r="K218" s="5" t="n"/>
    </row>
    <row r="219">
      <c r="H219" s="5" t="n"/>
      <c r="K219" s="5" t="n"/>
    </row>
    <row r="220">
      <c r="H220" s="5" t="n"/>
      <c r="K220" s="5" t="n"/>
    </row>
    <row r="221">
      <c r="H221" s="5" t="n"/>
      <c r="K221" s="5" t="n"/>
    </row>
    <row r="222">
      <c r="H222" s="5" t="n"/>
      <c r="K222" s="5" t="n"/>
    </row>
    <row r="223">
      <c r="H223" s="5" t="n"/>
      <c r="K223" s="5" t="n"/>
    </row>
    <row r="224">
      <c r="H224" s="5" t="n"/>
      <c r="K224" s="5" t="n"/>
    </row>
    <row r="225">
      <c r="H225" s="5" t="n"/>
      <c r="K225" s="5" t="n"/>
    </row>
    <row r="226">
      <c r="H226" s="5" t="n"/>
      <c r="K226" s="5" t="n"/>
    </row>
    <row r="227">
      <c r="H227" s="5" t="n"/>
      <c r="K227" s="5" t="n"/>
    </row>
    <row r="228">
      <c r="H228" s="5" t="n"/>
      <c r="K228" s="5" t="n"/>
    </row>
    <row r="229">
      <c r="H229" s="5" t="n"/>
      <c r="K229" s="5" t="n"/>
    </row>
    <row r="230">
      <c r="H230" s="5" t="n"/>
      <c r="K230" s="5" t="n"/>
    </row>
    <row r="231">
      <c r="H231" s="5" t="n"/>
      <c r="K231" s="5" t="n"/>
    </row>
    <row r="232">
      <c r="H232" s="5" t="n"/>
      <c r="K232" s="5" t="n"/>
    </row>
    <row r="233">
      <c r="H233" s="5" t="n"/>
      <c r="K233" s="5" t="n"/>
    </row>
    <row r="234">
      <c r="H234" s="5" t="n"/>
      <c r="K234" s="5" t="n"/>
    </row>
    <row r="235">
      <c r="H235" s="5" t="n"/>
      <c r="K235" s="5" t="n"/>
    </row>
    <row r="236">
      <c r="H236" s="5" t="n"/>
      <c r="K236" s="5" t="n"/>
    </row>
    <row r="237">
      <c r="H237" s="5" t="n"/>
      <c r="K237" s="5" t="n"/>
    </row>
    <row r="238">
      <c r="H238" s="5" t="n"/>
      <c r="K238" s="5" t="n"/>
    </row>
    <row r="239">
      <c r="H239" s="5" t="n"/>
      <c r="K239" s="5" t="n"/>
    </row>
    <row r="240">
      <c r="H240" s="5" t="n"/>
      <c r="K240" s="5" t="n"/>
    </row>
    <row r="241">
      <c r="H241" s="5" t="n"/>
      <c r="K241" s="5" t="n"/>
    </row>
    <row r="242">
      <c r="H242" s="5" t="n"/>
      <c r="K242" s="5" t="n"/>
    </row>
    <row r="243">
      <c r="H243" s="5" t="n"/>
      <c r="K243" s="5" t="n"/>
    </row>
    <row r="244">
      <c r="H244" s="5" t="n"/>
      <c r="K244" s="5" t="n"/>
    </row>
    <row r="245">
      <c r="H245" s="5" t="n"/>
      <c r="K245" s="5" t="n"/>
    </row>
    <row r="246">
      <c r="H246" s="5" t="n"/>
      <c r="K246" s="5" t="n"/>
    </row>
    <row r="247">
      <c r="H247" s="5" t="n"/>
      <c r="K247" s="5" t="n"/>
    </row>
    <row r="248">
      <c r="H248" s="5" t="n"/>
      <c r="K248" s="5" t="n"/>
    </row>
    <row r="249">
      <c r="H249" s="5" t="n"/>
      <c r="K249" s="5" t="n"/>
    </row>
    <row r="250">
      <c r="H250" s="5" t="n"/>
      <c r="K250" s="5" t="n"/>
    </row>
    <row r="251">
      <c r="H251" s="5" t="n"/>
      <c r="K251" s="5" t="n"/>
    </row>
    <row r="252">
      <c r="H252" s="5" t="n"/>
      <c r="K252" s="5" t="n"/>
    </row>
    <row r="253">
      <c r="H253" s="5" t="n"/>
      <c r="K253" s="5" t="n"/>
    </row>
    <row r="254">
      <c r="H254" s="5" t="n"/>
      <c r="K254" s="5" t="n"/>
    </row>
    <row r="255">
      <c r="H255" s="5" t="n"/>
      <c r="K255" s="5" t="n"/>
    </row>
    <row r="256">
      <c r="H256" s="5" t="n"/>
      <c r="K256" s="5" t="n"/>
    </row>
    <row r="257">
      <c r="H257" s="5" t="n"/>
      <c r="K257" s="5" t="n"/>
    </row>
    <row r="258">
      <c r="H258" s="5" t="n"/>
      <c r="K258" s="5" t="n"/>
    </row>
    <row r="259">
      <c r="H259" s="5" t="n"/>
      <c r="K259" s="5" t="n"/>
    </row>
    <row r="260">
      <c r="H260" s="5" t="n"/>
      <c r="K260" s="5" t="n"/>
    </row>
    <row r="261">
      <c r="H261" s="5" t="n"/>
      <c r="K261" s="5" t="n"/>
    </row>
    <row r="262">
      <c r="H262" s="5" t="n"/>
      <c r="K262" s="5" t="n"/>
    </row>
    <row r="263">
      <c r="H263" s="5" t="n"/>
      <c r="K263" s="5" t="n"/>
    </row>
    <row r="264">
      <c r="H264" s="5" t="n"/>
      <c r="K264" s="5" t="n"/>
    </row>
    <row r="265">
      <c r="H265" s="5" t="n"/>
      <c r="K265" s="5" t="n"/>
    </row>
    <row r="266">
      <c r="H266" s="5" t="n"/>
      <c r="K266" s="5" t="n"/>
    </row>
    <row r="267">
      <c r="H267" s="5" t="n"/>
      <c r="K267" s="5" t="n"/>
    </row>
    <row r="268">
      <c r="H268" s="5" t="n"/>
      <c r="K268" s="5" t="n"/>
    </row>
    <row r="269">
      <c r="H269" s="5" t="n"/>
      <c r="K269" s="5" t="n"/>
    </row>
    <row r="270">
      <c r="H270" s="5" t="n"/>
      <c r="K270" s="5" t="n"/>
    </row>
    <row r="271">
      <c r="H271" s="5" t="n"/>
      <c r="K271" s="5" t="n"/>
    </row>
    <row r="272">
      <c r="H272" s="5" t="n"/>
      <c r="K272" s="5" t="n"/>
    </row>
    <row r="273">
      <c r="H273" s="5" t="n"/>
      <c r="K273" s="5" t="n"/>
    </row>
    <row r="274">
      <c r="H274" s="5" t="n"/>
      <c r="K274" s="5" t="n"/>
    </row>
    <row r="275">
      <c r="H275" s="5" t="n"/>
      <c r="K275" s="5" t="n"/>
    </row>
    <row r="276">
      <c r="H276" s="5" t="n"/>
      <c r="K276" s="5" t="n"/>
    </row>
    <row r="277">
      <c r="H277" s="5" t="n"/>
      <c r="K277" s="5" t="n"/>
    </row>
    <row r="278">
      <c r="H278" s="5" t="n"/>
      <c r="K278" s="5" t="n"/>
    </row>
    <row r="279">
      <c r="H279" s="5" t="n"/>
      <c r="K279" s="5" t="n"/>
    </row>
    <row r="280">
      <c r="H280" s="5" t="n"/>
      <c r="K280" s="5" t="n"/>
    </row>
    <row r="281">
      <c r="H281" s="5" t="n"/>
      <c r="K281" s="5" t="n"/>
    </row>
    <row r="282">
      <c r="H282" s="5" t="n"/>
      <c r="K282" s="5" t="n"/>
    </row>
    <row r="283">
      <c r="H283" s="5" t="n"/>
      <c r="K283" s="5" t="n"/>
    </row>
    <row r="284">
      <c r="H284" s="5" t="n"/>
      <c r="K284" s="5" t="n"/>
    </row>
    <row r="285">
      <c r="H285" s="5" t="n"/>
      <c r="K285" s="5" t="n"/>
    </row>
    <row r="286">
      <c r="H286" s="5" t="n"/>
      <c r="K286" s="5" t="n"/>
    </row>
    <row r="287">
      <c r="H287" s="5" t="n"/>
      <c r="K287" s="5" t="n"/>
    </row>
    <row r="288">
      <c r="H288" s="5" t="n"/>
      <c r="K288" s="5" t="n"/>
    </row>
    <row r="289">
      <c r="H289" s="5" t="n"/>
      <c r="K289" s="5" t="n"/>
    </row>
    <row r="290">
      <c r="H290" s="5" t="n"/>
      <c r="K290" s="5" t="n"/>
    </row>
    <row r="291">
      <c r="H291" s="5" t="n"/>
      <c r="K291" s="5" t="n"/>
    </row>
    <row r="292">
      <c r="H292" s="5" t="n"/>
      <c r="K292" s="5" t="n"/>
    </row>
    <row r="293">
      <c r="H293" s="5" t="n"/>
      <c r="K293" s="5" t="n"/>
    </row>
    <row r="294">
      <c r="H294" s="5" t="n"/>
      <c r="K294" s="5" t="n"/>
    </row>
    <row r="295">
      <c r="H295" s="5" t="n"/>
      <c r="K295" s="5" t="n"/>
    </row>
    <row r="296">
      <c r="H296" s="5" t="n"/>
      <c r="K296" s="5" t="n"/>
    </row>
    <row r="297">
      <c r="H297" s="5" t="n"/>
      <c r="K297" s="5" t="n"/>
    </row>
    <row r="298">
      <c r="H298" s="5" t="n"/>
      <c r="K298" s="5" t="n"/>
    </row>
    <row r="299">
      <c r="H299" s="5" t="n"/>
      <c r="K299" s="5" t="n"/>
    </row>
    <row r="300">
      <c r="H300" s="5" t="n"/>
      <c r="K300" s="5" t="n"/>
    </row>
    <row r="301">
      <c r="H301" s="5" t="n"/>
      <c r="K301" s="5" t="n"/>
    </row>
    <row r="302">
      <c r="H302" s="5" t="n"/>
      <c r="K302" s="5" t="n"/>
    </row>
    <row r="303">
      <c r="H303" s="5" t="n"/>
      <c r="K303" s="5" t="n"/>
    </row>
    <row r="304">
      <c r="H304" s="5" t="n"/>
      <c r="K304" s="5" t="n"/>
    </row>
    <row r="305">
      <c r="H305" s="5" t="n"/>
      <c r="K305" s="5" t="n"/>
    </row>
    <row r="306">
      <c r="H306" s="5" t="n"/>
      <c r="K306" s="5" t="n"/>
    </row>
    <row r="307">
      <c r="H307" s="5" t="n"/>
      <c r="K307" s="5" t="n"/>
    </row>
    <row r="308">
      <c r="H308" s="5" t="n"/>
      <c r="K308" s="5" t="n"/>
    </row>
    <row r="309">
      <c r="H309" s="5" t="n"/>
      <c r="K309" s="5" t="n"/>
    </row>
    <row r="310">
      <c r="H310" s="5" t="n"/>
      <c r="K310" s="5" t="n"/>
    </row>
    <row r="311">
      <c r="H311" s="5" t="n"/>
      <c r="K311" s="5" t="n"/>
    </row>
    <row r="312">
      <c r="H312" s="5" t="n"/>
      <c r="K312" s="5" t="n"/>
    </row>
    <row r="313">
      <c r="H313" s="5" t="n"/>
      <c r="K313" s="5" t="n"/>
    </row>
    <row r="314">
      <c r="H314" s="5" t="n"/>
      <c r="K314" s="5" t="n"/>
    </row>
    <row r="315">
      <c r="H315" s="5" t="n"/>
      <c r="K315" s="5" t="n"/>
    </row>
    <row r="316">
      <c r="H316" s="5" t="n"/>
      <c r="K316" s="5" t="n"/>
    </row>
    <row r="317">
      <c r="H317" s="5" t="n"/>
      <c r="K317" s="5" t="n"/>
    </row>
    <row r="318">
      <c r="H318" s="5" t="n"/>
      <c r="K318" s="5" t="n"/>
    </row>
    <row r="319">
      <c r="H319" s="5" t="n"/>
      <c r="K319" s="5" t="n"/>
    </row>
    <row r="320">
      <c r="H320" s="5" t="n"/>
      <c r="K320" s="5" t="n"/>
    </row>
    <row r="321">
      <c r="H321" s="5" t="n"/>
      <c r="K321" s="5" t="n"/>
    </row>
    <row r="322">
      <c r="H322" s="5" t="n"/>
      <c r="K322" s="5" t="n"/>
    </row>
    <row r="323">
      <c r="H323" s="5" t="n"/>
      <c r="K323" s="5" t="n"/>
    </row>
    <row r="324">
      <c r="H324" s="5" t="n"/>
      <c r="K324" s="5" t="n"/>
    </row>
    <row r="325">
      <c r="H325" s="5" t="n"/>
      <c r="K325" s="5" t="n"/>
    </row>
    <row r="326">
      <c r="H326" s="5" t="n"/>
      <c r="K326" s="5" t="n"/>
    </row>
    <row r="327">
      <c r="H327" s="5" t="n"/>
      <c r="K327" s="5" t="n"/>
    </row>
    <row r="328">
      <c r="H328" s="5" t="n"/>
      <c r="K328" s="5" t="n"/>
    </row>
    <row r="329">
      <c r="H329" s="5" t="n"/>
      <c r="K329" s="5" t="n"/>
    </row>
    <row r="330">
      <c r="H330" s="5" t="n"/>
      <c r="K330" s="5" t="n"/>
    </row>
    <row r="331">
      <c r="H331" s="5" t="n"/>
      <c r="K331" s="5" t="n"/>
    </row>
    <row r="332">
      <c r="H332" s="5" t="n"/>
      <c r="K332" s="5" t="n"/>
    </row>
    <row r="333">
      <c r="H333" s="5" t="n"/>
      <c r="K333" s="5" t="n"/>
    </row>
    <row r="334">
      <c r="H334" s="5" t="n"/>
      <c r="K334" s="5" t="n"/>
    </row>
    <row r="335">
      <c r="H335" s="5" t="n"/>
      <c r="K335" s="5" t="n"/>
    </row>
    <row r="336">
      <c r="H336" s="5" t="n"/>
      <c r="K336" s="5" t="n"/>
    </row>
    <row r="337">
      <c r="H337" s="5" t="n"/>
      <c r="K337" s="5" t="n"/>
    </row>
    <row r="338">
      <c r="H338" s="5" t="n"/>
      <c r="K338" s="5" t="n"/>
    </row>
    <row r="339">
      <c r="H339" s="5" t="n"/>
      <c r="K339" s="5" t="n"/>
    </row>
    <row r="340">
      <c r="H340" s="5" t="n"/>
      <c r="K340" s="5" t="n"/>
    </row>
    <row r="341">
      <c r="H341" s="5" t="n"/>
      <c r="K341" s="5" t="n"/>
    </row>
    <row r="342">
      <c r="H342" s="5" t="n"/>
      <c r="K342" s="5" t="n"/>
    </row>
    <row r="343">
      <c r="H343" s="5" t="n"/>
      <c r="K343" s="5" t="n"/>
    </row>
    <row r="344">
      <c r="H344" s="5" t="n"/>
      <c r="K344" s="5" t="n"/>
    </row>
    <row r="345">
      <c r="H345" s="5" t="n"/>
      <c r="K345" s="5" t="n"/>
    </row>
    <row r="346">
      <c r="H346" s="5" t="n"/>
      <c r="K346" s="5" t="n"/>
    </row>
    <row r="347">
      <c r="H347" s="5" t="n"/>
      <c r="K347" s="5" t="n"/>
    </row>
    <row r="348">
      <c r="H348" s="5" t="n"/>
      <c r="K348" s="5" t="n"/>
    </row>
    <row r="349">
      <c r="H349" s="5" t="n"/>
      <c r="K349" s="5" t="n"/>
    </row>
    <row r="350">
      <c r="H350" s="5" t="n"/>
      <c r="K350" s="5" t="n"/>
    </row>
    <row r="351">
      <c r="H351" s="5" t="n"/>
      <c r="K351" s="5" t="n"/>
    </row>
    <row r="352">
      <c r="H352" s="5" t="n"/>
      <c r="K352" s="5" t="n"/>
    </row>
    <row r="353">
      <c r="H353" s="5" t="n"/>
      <c r="K353" s="5" t="n"/>
    </row>
    <row r="354">
      <c r="H354" s="5" t="n"/>
      <c r="K354" s="5" t="n"/>
    </row>
    <row r="355">
      <c r="H355" s="5" t="n"/>
      <c r="K355" s="5" t="n"/>
    </row>
    <row r="356">
      <c r="H356" s="5" t="n"/>
      <c r="K356" s="5" t="n"/>
    </row>
    <row r="357">
      <c r="H357" s="5" t="n"/>
      <c r="K357" s="5" t="n"/>
    </row>
    <row r="358">
      <c r="H358" s="5" t="n"/>
      <c r="K358" s="5" t="n"/>
    </row>
    <row r="359">
      <c r="H359" s="5" t="n"/>
      <c r="K359" s="5" t="n"/>
    </row>
    <row r="360">
      <c r="H360" s="5" t="n"/>
      <c r="K360" s="5" t="n"/>
    </row>
    <row r="361">
      <c r="H361" s="5" t="n"/>
      <c r="K361" s="5" t="n"/>
    </row>
    <row r="362">
      <c r="H362" s="5" t="n"/>
      <c r="K362" s="5" t="n"/>
    </row>
    <row r="363">
      <c r="H363" s="5" t="n"/>
      <c r="K363" s="5" t="n"/>
    </row>
    <row r="364">
      <c r="H364" s="5" t="n"/>
      <c r="K364" s="5" t="n"/>
    </row>
    <row r="365">
      <c r="H365" s="5" t="n"/>
      <c r="K365" s="5" t="n"/>
    </row>
    <row r="366">
      <c r="H366" s="5" t="n"/>
      <c r="K366" s="5" t="n"/>
    </row>
    <row r="367">
      <c r="H367" s="5" t="n"/>
      <c r="K367" s="5" t="n"/>
    </row>
    <row r="368">
      <c r="H368" s="5" t="n"/>
      <c r="K368" s="5" t="n"/>
    </row>
    <row r="369">
      <c r="H369" s="5" t="n"/>
      <c r="K369" s="5" t="n"/>
    </row>
    <row r="370">
      <c r="H370" s="5" t="n"/>
      <c r="K370" s="5" t="n"/>
    </row>
    <row r="371">
      <c r="H371" s="5" t="n"/>
      <c r="K371" s="5" t="n"/>
    </row>
    <row r="372">
      <c r="H372" s="5" t="n"/>
      <c r="K372" s="5" t="n"/>
    </row>
    <row r="373">
      <c r="H373" s="5" t="n"/>
      <c r="K373" s="5" t="n"/>
    </row>
    <row r="374">
      <c r="H374" s="5" t="n"/>
      <c r="K374" s="5" t="n"/>
    </row>
    <row r="375">
      <c r="H375" s="5" t="n"/>
      <c r="K375" s="5" t="n"/>
    </row>
    <row r="376">
      <c r="H376" s="5" t="n"/>
      <c r="K376" s="5" t="n"/>
    </row>
    <row r="377">
      <c r="H377" s="5" t="n"/>
      <c r="K377" s="5" t="n"/>
    </row>
    <row r="378">
      <c r="H378" s="5" t="n"/>
      <c r="K378" s="5" t="n"/>
    </row>
    <row r="379">
      <c r="H379" s="5" t="n"/>
      <c r="K379" s="5" t="n"/>
    </row>
    <row r="380">
      <c r="H380" s="5" t="n"/>
      <c r="K380" s="5" t="n"/>
    </row>
    <row r="381">
      <c r="H381" s="5" t="n"/>
      <c r="K381" s="5" t="n"/>
    </row>
    <row r="382">
      <c r="H382" s="5" t="n"/>
      <c r="K382" s="5" t="n"/>
    </row>
    <row r="383">
      <c r="H383" s="5" t="n"/>
      <c r="K383" s="5" t="n"/>
    </row>
    <row r="384">
      <c r="H384" s="5" t="n"/>
      <c r="K384" s="5" t="n"/>
    </row>
    <row r="385">
      <c r="H385" s="5" t="n"/>
      <c r="K385" s="5" t="n"/>
    </row>
    <row r="386">
      <c r="H386" s="5" t="n"/>
      <c r="K386" s="5" t="n"/>
    </row>
    <row r="387">
      <c r="H387" s="5" t="n"/>
      <c r="K387" s="5" t="n"/>
    </row>
    <row r="388">
      <c r="H388" s="5" t="n"/>
      <c r="K388" s="5" t="n"/>
    </row>
    <row r="389">
      <c r="H389" s="5" t="n"/>
      <c r="K389" s="5" t="n"/>
    </row>
    <row r="390">
      <c r="H390" s="5" t="n"/>
      <c r="K390" s="5" t="n"/>
    </row>
    <row r="391">
      <c r="H391" s="5" t="n"/>
      <c r="K391" s="5" t="n"/>
    </row>
    <row r="392">
      <c r="H392" s="5" t="n"/>
      <c r="K392" s="5" t="n"/>
    </row>
    <row r="393">
      <c r="H393" s="5" t="n"/>
      <c r="K393" s="5" t="n"/>
    </row>
    <row r="394">
      <c r="H394" s="5" t="n"/>
      <c r="K394" s="5" t="n"/>
    </row>
    <row r="395">
      <c r="H395" s="5" t="n"/>
      <c r="K395" s="5" t="n"/>
    </row>
    <row r="396">
      <c r="H396" s="5" t="n"/>
      <c r="K396" s="5" t="n"/>
    </row>
    <row r="397">
      <c r="H397" s="5" t="n"/>
      <c r="K397" s="5" t="n"/>
    </row>
    <row r="398">
      <c r="H398" s="5" t="n"/>
      <c r="K398" s="5" t="n"/>
    </row>
    <row r="399">
      <c r="H399" s="5" t="n"/>
      <c r="K399" s="5" t="n"/>
    </row>
    <row r="400">
      <c r="H400" s="5" t="n"/>
      <c r="K400" s="5" t="n"/>
    </row>
    <row r="401">
      <c r="H401" s="5" t="n"/>
      <c r="K401" s="5" t="n"/>
    </row>
    <row r="402">
      <c r="H402" s="5" t="n"/>
      <c r="K402" s="5" t="n"/>
    </row>
    <row r="403">
      <c r="H403" s="5" t="n"/>
      <c r="K403" s="5" t="n"/>
    </row>
    <row r="404">
      <c r="H404" s="5" t="n"/>
      <c r="K404" s="5" t="n"/>
    </row>
    <row r="405">
      <c r="H405" s="5" t="n"/>
      <c r="K405" s="5" t="n"/>
    </row>
    <row r="406">
      <c r="H406" s="5" t="n"/>
      <c r="K406" s="5" t="n"/>
    </row>
    <row r="407">
      <c r="H407" s="5" t="n"/>
      <c r="K407" s="5" t="n"/>
    </row>
    <row r="408">
      <c r="H408" s="5" t="n"/>
      <c r="K408" s="5" t="n"/>
    </row>
    <row r="409">
      <c r="H409" s="5" t="n"/>
      <c r="K409" s="5" t="n"/>
    </row>
    <row r="410">
      <c r="H410" s="5" t="n"/>
      <c r="K410" s="5" t="n"/>
    </row>
    <row r="411">
      <c r="H411" s="5" t="n"/>
      <c r="K411" s="5" t="n"/>
    </row>
    <row r="412">
      <c r="H412" s="5" t="n"/>
      <c r="K412" s="5" t="n"/>
    </row>
    <row r="413">
      <c r="H413" s="5" t="n"/>
      <c r="K413" s="5" t="n"/>
    </row>
    <row r="414">
      <c r="H414" s="5" t="n"/>
      <c r="K414" s="5" t="n"/>
    </row>
    <row r="415">
      <c r="H415" s="5" t="n"/>
      <c r="K415" s="5" t="n"/>
    </row>
    <row r="416">
      <c r="H416" s="5" t="n"/>
      <c r="K416" s="5" t="n"/>
    </row>
    <row r="417">
      <c r="H417" s="5" t="n"/>
      <c r="K417" s="5" t="n"/>
    </row>
    <row r="418">
      <c r="H418" s="5" t="n"/>
      <c r="K418" s="5" t="n"/>
    </row>
    <row r="419">
      <c r="H419" s="5" t="n"/>
      <c r="K419" s="5" t="n"/>
    </row>
    <row r="420">
      <c r="H420" s="5" t="n"/>
      <c r="K420" s="5" t="n"/>
    </row>
    <row r="421">
      <c r="H421" s="5" t="n"/>
      <c r="K421" s="5" t="n"/>
    </row>
    <row r="422">
      <c r="H422" s="5" t="n"/>
      <c r="K422" s="5" t="n"/>
    </row>
    <row r="423">
      <c r="H423" s="5" t="n"/>
      <c r="K423" s="5" t="n"/>
    </row>
    <row r="424">
      <c r="H424" s="5" t="n"/>
      <c r="K424" s="5" t="n"/>
    </row>
    <row r="425">
      <c r="H425" s="5" t="n"/>
      <c r="K425" s="5" t="n"/>
    </row>
    <row r="426">
      <c r="H426" s="5" t="n"/>
      <c r="K426" s="5" t="n"/>
    </row>
    <row r="427">
      <c r="H427" s="5" t="n"/>
      <c r="K427" s="5" t="n"/>
    </row>
    <row r="428">
      <c r="H428" s="5" t="n"/>
      <c r="K428" s="5" t="n"/>
    </row>
    <row r="429">
      <c r="H429" s="5" t="n"/>
      <c r="K429" s="5" t="n"/>
    </row>
    <row r="430">
      <c r="H430" s="5" t="n"/>
      <c r="K430" s="5" t="n"/>
    </row>
    <row r="431">
      <c r="H431" s="5" t="n"/>
      <c r="K431" s="5" t="n"/>
    </row>
    <row r="432">
      <c r="H432" s="5" t="n"/>
      <c r="K432" s="5" t="n"/>
    </row>
    <row r="433">
      <c r="H433" s="5" t="n"/>
      <c r="K433" s="5" t="n"/>
    </row>
    <row r="434">
      <c r="H434" s="5" t="n"/>
      <c r="K434" s="5" t="n"/>
    </row>
    <row r="435">
      <c r="H435" s="5" t="n"/>
      <c r="K435" s="5" t="n"/>
    </row>
    <row r="436">
      <c r="H436" s="5" t="n"/>
      <c r="K436" s="5" t="n"/>
    </row>
    <row r="437">
      <c r="H437" s="5" t="n"/>
      <c r="K437" s="5" t="n"/>
    </row>
    <row r="438">
      <c r="H438" s="5" t="n"/>
      <c r="K438" s="5" t="n"/>
    </row>
    <row r="439">
      <c r="H439" s="5" t="n"/>
      <c r="K439" s="5" t="n"/>
    </row>
    <row r="440">
      <c r="H440" s="5" t="n"/>
      <c r="K440" s="5" t="n"/>
    </row>
    <row r="441">
      <c r="H441" s="5" t="n"/>
      <c r="K441" s="5" t="n"/>
    </row>
    <row r="442">
      <c r="H442" s="5" t="n"/>
      <c r="K442" s="5" t="n"/>
    </row>
    <row r="443">
      <c r="H443" s="5" t="n"/>
      <c r="K443" s="5" t="n"/>
    </row>
    <row r="444">
      <c r="H444" s="5" t="n"/>
      <c r="K444" s="5" t="n"/>
    </row>
    <row r="445">
      <c r="H445" s="5" t="n"/>
      <c r="K445" s="5" t="n"/>
    </row>
    <row r="446">
      <c r="H446" s="5" t="n"/>
      <c r="K446" s="5" t="n"/>
    </row>
    <row r="447">
      <c r="H447" s="5" t="n"/>
      <c r="K447" s="5" t="n"/>
    </row>
    <row r="448">
      <c r="H448" s="5" t="n"/>
      <c r="K448" s="5" t="n"/>
    </row>
    <row r="449">
      <c r="H449" s="5" t="n"/>
      <c r="K449" s="5" t="n"/>
    </row>
    <row r="450">
      <c r="H450" s="5" t="n"/>
      <c r="K450" s="5" t="n"/>
    </row>
    <row r="451">
      <c r="H451" s="5" t="n"/>
      <c r="K451" s="5" t="n"/>
    </row>
    <row r="452">
      <c r="H452" s="5" t="n"/>
      <c r="K452" s="5" t="n"/>
    </row>
    <row r="453">
      <c r="H453" s="5" t="n"/>
      <c r="K453" s="5" t="n"/>
    </row>
    <row r="454">
      <c r="H454" s="5" t="n"/>
      <c r="K454" s="5" t="n"/>
    </row>
    <row r="455">
      <c r="H455" s="5" t="n"/>
      <c r="K455" s="5" t="n"/>
    </row>
    <row r="456">
      <c r="H456" s="5" t="n"/>
      <c r="K456" s="5" t="n"/>
    </row>
    <row r="457">
      <c r="H457" s="5" t="n"/>
      <c r="K457" s="5" t="n"/>
    </row>
    <row r="458">
      <c r="H458" s="5" t="n"/>
      <c r="K458" s="5" t="n"/>
    </row>
    <row r="459">
      <c r="H459" s="5" t="n"/>
      <c r="K459" s="5" t="n"/>
    </row>
    <row r="460">
      <c r="H460" s="5" t="n"/>
      <c r="K460" s="5" t="n"/>
    </row>
    <row r="461">
      <c r="H461" s="5" t="n"/>
      <c r="K461" s="5" t="n"/>
    </row>
    <row r="462">
      <c r="H462" s="5" t="n"/>
      <c r="K462" s="5" t="n"/>
    </row>
    <row r="463">
      <c r="H463" s="5" t="n"/>
      <c r="K463" s="5" t="n"/>
    </row>
    <row r="464">
      <c r="H464" s="5" t="n"/>
      <c r="K464" s="5" t="n"/>
    </row>
    <row r="465">
      <c r="H465" s="5" t="n"/>
      <c r="K465" s="5" t="n"/>
    </row>
    <row r="466">
      <c r="H466" s="5" t="n"/>
      <c r="K466" s="5" t="n"/>
    </row>
    <row r="467">
      <c r="H467" s="5" t="n"/>
      <c r="K467" s="5" t="n"/>
    </row>
    <row r="468">
      <c r="H468" s="5" t="n"/>
      <c r="K468" s="5" t="n"/>
    </row>
    <row r="469">
      <c r="H469" s="5" t="n"/>
      <c r="K469" s="5" t="n"/>
    </row>
    <row r="470">
      <c r="H470" s="5" t="n"/>
      <c r="K470" s="5" t="n"/>
    </row>
    <row r="471">
      <c r="H471" s="5" t="n"/>
      <c r="K471" s="5" t="n"/>
    </row>
    <row r="472">
      <c r="H472" s="5" t="n"/>
      <c r="K472" s="5" t="n"/>
    </row>
    <row r="473">
      <c r="H473" s="5" t="n"/>
      <c r="K473" s="5" t="n"/>
    </row>
    <row r="474">
      <c r="H474" s="5" t="n"/>
      <c r="K474" s="5" t="n"/>
    </row>
    <row r="475">
      <c r="H475" s="5" t="n"/>
      <c r="K475" s="5" t="n"/>
    </row>
    <row r="476">
      <c r="H476" s="5" t="n"/>
      <c r="K476" s="5" t="n"/>
    </row>
    <row r="477">
      <c r="H477" s="5" t="n"/>
      <c r="K477" s="5" t="n"/>
    </row>
    <row r="478">
      <c r="H478" s="5" t="n"/>
      <c r="K478" s="5" t="n"/>
    </row>
    <row r="479">
      <c r="H479" s="5" t="n"/>
      <c r="K479" s="5" t="n"/>
    </row>
    <row r="480">
      <c r="H480" s="5" t="n"/>
      <c r="K480" s="5" t="n"/>
    </row>
    <row r="481">
      <c r="H481" s="5" t="n"/>
      <c r="K481" s="5" t="n"/>
    </row>
    <row r="482">
      <c r="H482" s="5" t="n"/>
      <c r="K482" s="5" t="n"/>
    </row>
    <row r="483">
      <c r="H483" s="5" t="n"/>
      <c r="K483" s="5" t="n"/>
    </row>
    <row r="484">
      <c r="H484" s="5" t="n"/>
      <c r="K484" s="5" t="n"/>
    </row>
    <row r="485">
      <c r="H485" s="5" t="n"/>
      <c r="K485" s="5" t="n"/>
    </row>
    <row r="486">
      <c r="H486" s="5" t="n"/>
      <c r="K486" s="5" t="n"/>
    </row>
    <row r="487">
      <c r="H487" s="5" t="n"/>
      <c r="K487" s="5" t="n"/>
    </row>
    <row r="488">
      <c r="H488" s="5" t="n"/>
      <c r="K488" s="5" t="n"/>
    </row>
    <row r="489">
      <c r="H489" s="5" t="n"/>
      <c r="K489" s="5" t="n"/>
    </row>
    <row r="490">
      <c r="H490" s="5" t="n"/>
      <c r="K490" s="5" t="n"/>
    </row>
    <row r="491">
      <c r="H491" s="5" t="n"/>
      <c r="K491" s="5" t="n"/>
    </row>
    <row r="492">
      <c r="H492" s="5" t="n"/>
      <c r="K492" s="5" t="n"/>
    </row>
    <row r="493">
      <c r="H493" s="5" t="n"/>
      <c r="K493" s="5" t="n"/>
    </row>
    <row r="494">
      <c r="H494" s="5" t="n"/>
      <c r="K494" s="5" t="n"/>
    </row>
    <row r="495">
      <c r="H495" s="5" t="n"/>
      <c r="K495" s="5" t="n"/>
    </row>
    <row r="496">
      <c r="H496" s="5" t="n"/>
      <c r="K496" s="5" t="n"/>
    </row>
    <row r="497">
      <c r="H497" s="5" t="n"/>
      <c r="K497" s="5" t="n"/>
    </row>
    <row r="498">
      <c r="H498" s="5" t="n"/>
      <c r="K498" s="5" t="n"/>
    </row>
    <row r="499">
      <c r="H499" s="5" t="n"/>
      <c r="K499" s="5" t="n"/>
    </row>
    <row r="500">
      <c r="H500" s="5" t="n"/>
      <c r="K500" s="5" t="n"/>
    </row>
    <row r="501">
      <c r="H501" s="5" t="n"/>
      <c r="K501" s="5" t="n"/>
    </row>
  </sheetData>
  <autoFilter ref="A1:M501"/>
  <dataValidations count="2">
    <dataValidation sqref="I2:I501" showDropDown="0" showInputMessage="0" showErrorMessage="0" allowBlank="1" type="list">
      <formula1>"ร่าง,รอตรวจสอบ,อนุมัติ,ส่งมอบแล้ว,ยกเลิก"</formula1>
    </dataValidation>
    <dataValidation sqref="L2:L501" showDropDown="0" showInputMessage="0" showErrorMessage="0" allowBlank="1" type="list">
      <formula1>"ยังไม่ตรวจ,ตรวจแล้ว"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5" customWidth="1" min="4" max="4"/>
    <col width="23" customWidth="1" min="5" max="5"/>
    <col width="18" customWidth="1" min="6" max="6"/>
    <col width="24" customWidth="1" min="7" max="7"/>
    <col width="42" customWidth="1" min="8" max="8"/>
  </cols>
  <sheetData>
    <row r="1" ht="32" customHeight="1">
      <c r="A1" s="4" t="inlineStr">
        <is>
          <t>ปีการศึกษา</t>
        </is>
      </c>
      <c r="B1" s="4" t="inlineStr">
        <is>
          <t>รหัสนักศึกษา</t>
        </is>
      </c>
      <c r="C1" s="4" t="inlineStr">
        <is>
          <t>ชื่อ-สกุล</t>
        </is>
      </c>
      <c r="D1" s="4" t="inlineStr">
        <is>
          <t>ดาวเหลืองที่อนุมัติในไฟล์</t>
        </is>
      </c>
      <c r="E1" s="4" t="inlineStr">
        <is>
          <t>ดาวเขียวที่อนุมัติในไฟล์</t>
        </is>
      </c>
      <c r="F1" s="4" t="inlineStr">
        <is>
          <t>รวมดาวในไฟล์</t>
        </is>
      </c>
      <c r="G1" s="4" t="inlineStr">
        <is>
          <t>ดาวเหลืองสูงสุดคงเหลือ*</t>
        </is>
      </c>
      <c r="H1" s="4" t="inlineStr">
        <is>
          <t>หมายเหตุ</t>
        </is>
      </c>
    </row>
    <row r="2">
      <c r="A2" t="inlineStr">
        <is>
          <t>2569</t>
        </is>
      </c>
      <c r="B2" t="inlineStr">
        <is>
          <t>DEMO0001</t>
        </is>
      </c>
      <c r="C2" t="inlineStr">
        <is>
          <t>นักศึกษาตัวอย่าง</t>
        </is>
      </c>
      <c r="D2" s="8">
        <f>COUNTIFS(Attendance_Log!$C$2:$C$1001,A2,Attendance_Log!$D$2:$D$1001,B2,Attendance_Log!$O$2:$O$1001,"อนุมัติ",Attendance_Log!$K$2:$K$1001,"ผ่าน")</f>
        <v/>
      </c>
      <c r="E2" s="8">
        <f>SUMIFS(Green_Star_Requests!$H$2:$H$501,Green_Star_Requests!$B$2:$B$501,A2,Green_Star_Requests!$C$2:$C$501,B2,Green_Star_Requests!$J$2:$J$501,"อนุมัติ")</f>
        <v/>
      </c>
      <c r="F2" s="8">
        <f>D2+E2</f>
        <v/>
      </c>
      <c r="G2" s="8">
        <f>MAX(0,12-D2)</f>
        <v/>
      </c>
      <c r="H2" t="inlineStr">
        <is>
          <t>ข้อมูลตัวอย่างสมมติ; Summary นับเฉพาะรายการในไฟล์นี้</t>
        </is>
      </c>
    </row>
    <row r="3">
      <c r="D3" s="8">
        <f>COUNTIFS(Attendance_Log!$C$2:$C$1001,A3,Attendance_Log!$D$2:$D$1001,B3,Attendance_Log!$O$2:$O$1001,"อนุมัติ",Attendance_Log!$K$2:$K$1001,"ผ่าน")</f>
        <v/>
      </c>
      <c r="E3" s="8">
        <f>SUMIFS(Green_Star_Requests!$H$2:$H$501,Green_Star_Requests!$B$2:$B$501,A3,Green_Star_Requests!$C$2:$C$501,B3,Green_Star_Requests!$J$2:$J$501,"อนุมัติ")</f>
        <v/>
      </c>
      <c r="F3" s="8">
        <f>D3+E3</f>
        <v/>
      </c>
      <c r="G3" s="8">
        <f>MAX(0,12-D3)</f>
        <v/>
      </c>
    </row>
    <row r="4">
      <c r="D4" s="8">
        <f>COUNTIFS(Attendance_Log!$C$2:$C$1001,A4,Attendance_Log!$D$2:$D$1001,B4,Attendance_Log!$O$2:$O$1001,"อนุมัติ",Attendance_Log!$K$2:$K$1001,"ผ่าน")</f>
        <v/>
      </c>
      <c r="E4" s="8">
        <f>SUMIFS(Green_Star_Requests!$H$2:$H$501,Green_Star_Requests!$B$2:$B$501,A4,Green_Star_Requests!$C$2:$C$501,B4,Green_Star_Requests!$J$2:$J$501,"อนุมัติ")</f>
        <v/>
      </c>
      <c r="F4" s="8">
        <f>D4+E4</f>
        <v/>
      </c>
      <c r="G4" s="8">
        <f>MAX(0,12-D4)</f>
        <v/>
      </c>
    </row>
    <row r="5">
      <c r="D5" s="8">
        <f>COUNTIFS(Attendance_Log!$C$2:$C$1001,A5,Attendance_Log!$D$2:$D$1001,B5,Attendance_Log!$O$2:$O$1001,"อนุมัติ",Attendance_Log!$K$2:$K$1001,"ผ่าน")</f>
        <v/>
      </c>
      <c r="E5" s="8">
        <f>SUMIFS(Green_Star_Requests!$H$2:$H$501,Green_Star_Requests!$B$2:$B$501,A5,Green_Star_Requests!$C$2:$C$501,B5,Green_Star_Requests!$J$2:$J$501,"อนุมัติ")</f>
        <v/>
      </c>
      <c r="F5" s="8">
        <f>D5+E5</f>
        <v/>
      </c>
      <c r="G5" s="8">
        <f>MAX(0,12-D5)</f>
        <v/>
      </c>
    </row>
    <row r="6">
      <c r="D6" s="8">
        <f>COUNTIFS(Attendance_Log!$C$2:$C$1001,A6,Attendance_Log!$D$2:$D$1001,B6,Attendance_Log!$O$2:$O$1001,"อนุมัติ",Attendance_Log!$K$2:$K$1001,"ผ่าน")</f>
        <v/>
      </c>
      <c r="E6" s="8">
        <f>SUMIFS(Green_Star_Requests!$H$2:$H$501,Green_Star_Requests!$B$2:$B$501,A6,Green_Star_Requests!$C$2:$C$501,B6,Green_Star_Requests!$J$2:$J$501,"อนุมัติ")</f>
        <v/>
      </c>
      <c r="F6" s="8">
        <f>D6+E6</f>
        <v/>
      </c>
      <c r="G6" s="8">
        <f>MAX(0,12-D6)</f>
        <v/>
      </c>
    </row>
    <row r="7">
      <c r="D7" s="8">
        <f>COUNTIFS(Attendance_Log!$C$2:$C$1001,A7,Attendance_Log!$D$2:$D$1001,B7,Attendance_Log!$O$2:$O$1001,"อนุมัติ",Attendance_Log!$K$2:$K$1001,"ผ่าน")</f>
        <v/>
      </c>
      <c r="E7" s="8">
        <f>SUMIFS(Green_Star_Requests!$H$2:$H$501,Green_Star_Requests!$B$2:$B$501,A7,Green_Star_Requests!$C$2:$C$501,B7,Green_Star_Requests!$J$2:$J$501,"อนุมัติ")</f>
        <v/>
      </c>
      <c r="F7" s="8">
        <f>D7+E7</f>
        <v/>
      </c>
      <c r="G7" s="8">
        <f>MAX(0,12-D7)</f>
        <v/>
      </c>
    </row>
    <row r="8">
      <c r="D8" s="8">
        <f>COUNTIFS(Attendance_Log!$C$2:$C$1001,A8,Attendance_Log!$D$2:$D$1001,B8,Attendance_Log!$O$2:$O$1001,"อนุมัติ",Attendance_Log!$K$2:$K$1001,"ผ่าน")</f>
        <v/>
      </c>
      <c r="E8" s="8">
        <f>SUMIFS(Green_Star_Requests!$H$2:$H$501,Green_Star_Requests!$B$2:$B$501,A8,Green_Star_Requests!$C$2:$C$501,B8,Green_Star_Requests!$J$2:$J$501,"อนุมัติ")</f>
        <v/>
      </c>
      <c r="F8" s="8">
        <f>D8+E8</f>
        <v/>
      </c>
      <c r="G8" s="8">
        <f>MAX(0,12-D8)</f>
        <v/>
      </c>
    </row>
    <row r="9">
      <c r="D9" s="8">
        <f>COUNTIFS(Attendance_Log!$C$2:$C$1001,A9,Attendance_Log!$D$2:$D$1001,B9,Attendance_Log!$O$2:$O$1001,"อนุมัติ",Attendance_Log!$K$2:$K$1001,"ผ่าน")</f>
        <v/>
      </c>
      <c r="E9" s="8">
        <f>SUMIFS(Green_Star_Requests!$H$2:$H$501,Green_Star_Requests!$B$2:$B$501,A9,Green_Star_Requests!$C$2:$C$501,B9,Green_Star_Requests!$J$2:$J$501,"อนุมัติ")</f>
        <v/>
      </c>
      <c r="F9" s="8">
        <f>D9+E9</f>
        <v/>
      </c>
      <c r="G9" s="8">
        <f>MAX(0,12-D9)</f>
        <v/>
      </c>
    </row>
    <row r="10">
      <c r="D10" s="8">
        <f>COUNTIFS(Attendance_Log!$C$2:$C$1001,A10,Attendance_Log!$D$2:$D$1001,B10,Attendance_Log!$O$2:$O$1001,"อนุมัติ",Attendance_Log!$K$2:$K$1001,"ผ่าน")</f>
        <v/>
      </c>
      <c r="E10" s="8">
        <f>SUMIFS(Green_Star_Requests!$H$2:$H$501,Green_Star_Requests!$B$2:$B$501,A10,Green_Star_Requests!$C$2:$C$501,B10,Green_Star_Requests!$J$2:$J$501,"อนุมัติ")</f>
        <v/>
      </c>
      <c r="F10" s="8">
        <f>D10+E10</f>
        <v/>
      </c>
      <c r="G10" s="8">
        <f>MAX(0,12-D10)</f>
        <v/>
      </c>
    </row>
    <row r="11">
      <c r="D11" s="8">
        <f>COUNTIFS(Attendance_Log!$C$2:$C$1001,A11,Attendance_Log!$D$2:$D$1001,B11,Attendance_Log!$O$2:$O$1001,"อนุมัติ",Attendance_Log!$K$2:$K$1001,"ผ่าน")</f>
        <v/>
      </c>
      <c r="E11" s="8">
        <f>SUMIFS(Green_Star_Requests!$H$2:$H$501,Green_Star_Requests!$B$2:$B$501,A11,Green_Star_Requests!$C$2:$C$501,B11,Green_Star_Requests!$J$2:$J$501,"อนุมัติ")</f>
        <v/>
      </c>
      <c r="F11" s="8">
        <f>D11+E11</f>
        <v/>
      </c>
      <c r="G11" s="8">
        <f>MAX(0,12-D11)</f>
        <v/>
      </c>
    </row>
    <row r="12">
      <c r="D12" s="8">
        <f>COUNTIFS(Attendance_Log!$C$2:$C$1001,A12,Attendance_Log!$D$2:$D$1001,B12,Attendance_Log!$O$2:$O$1001,"อนุมัติ",Attendance_Log!$K$2:$K$1001,"ผ่าน")</f>
        <v/>
      </c>
      <c r="E12" s="8">
        <f>SUMIFS(Green_Star_Requests!$H$2:$H$501,Green_Star_Requests!$B$2:$B$501,A12,Green_Star_Requests!$C$2:$C$501,B12,Green_Star_Requests!$J$2:$J$501,"อนุมัติ")</f>
        <v/>
      </c>
      <c r="F12" s="8">
        <f>D12+E12</f>
        <v/>
      </c>
      <c r="G12" s="8">
        <f>MAX(0,12-D12)</f>
        <v/>
      </c>
    </row>
    <row r="13">
      <c r="D13" s="8">
        <f>COUNTIFS(Attendance_Log!$C$2:$C$1001,A13,Attendance_Log!$D$2:$D$1001,B13,Attendance_Log!$O$2:$O$1001,"อนุมัติ",Attendance_Log!$K$2:$K$1001,"ผ่าน")</f>
        <v/>
      </c>
      <c r="E13" s="8">
        <f>SUMIFS(Green_Star_Requests!$H$2:$H$501,Green_Star_Requests!$B$2:$B$501,A13,Green_Star_Requests!$C$2:$C$501,B13,Green_Star_Requests!$J$2:$J$501,"อนุมัติ")</f>
        <v/>
      </c>
      <c r="F13" s="8">
        <f>D13+E13</f>
        <v/>
      </c>
      <c r="G13" s="8">
        <f>MAX(0,12-D13)</f>
        <v/>
      </c>
    </row>
    <row r="14">
      <c r="D14" s="8">
        <f>COUNTIFS(Attendance_Log!$C$2:$C$1001,A14,Attendance_Log!$D$2:$D$1001,B14,Attendance_Log!$O$2:$O$1001,"อนุมัติ",Attendance_Log!$K$2:$K$1001,"ผ่าน")</f>
        <v/>
      </c>
      <c r="E14" s="8">
        <f>SUMIFS(Green_Star_Requests!$H$2:$H$501,Green_Star_Requests!$B$2:$B$501,A14,Green_Star_Requests!$C$2:$C$501,B14,Green_Star_Requests!$J$2:$J$501,"อนุมัติ")</f>
        <v/>
      </c>
      <c r="F14" s="8">
        <f>D14+E14</f>
        <v/>
      </c>
      <c r="G14" s="8">
        <f>MAX(0,12-D14)</f>
        <v/>
      </c>
    </row>
    <row r="15">
      <c r="D15" s="8">
        <f>COUNTIFS(Attendance_Log!$C$2:$C$1001,A15,Attendance_Log!$D$2:$D$1001,B15,Attendance_Log!$O$2:$O$1001,"อนุมัติ",Attendance_Log!$K$2:$K$1001,"ผ่าน")</f>
        <v/>
      </c>
      <c r="E15" s="8">
        <f>SUMIFS(Green_Star_Requests!$H$2:$H$501,Green_Star_Requests!$B$2:$B$501,A15,Green_Star_Requests!$C$2:$C$501,B15,Green_Star_Requests!$J$2:$J$501,"อนุมัติ")</f>
        <v/>
      </c>
      <c r="F15" s="8">
        <f>D15+E15</f>
        <v/>
      </c>
      <c r="G15" s="8">
        <f>MAX(0,12-D15)</f>
        <v/>
      </c>
    </row>
    <row r="16">
      <c r="D16" s="8">
        <f>COUNTIFS(Attendance_Log!$C$2:$C$1001,A16,Attendance_Log!$D$2:$D$1001,B16,Attendance_Log!$O$2:$O$1001,"อนุมัติ",Attendance_Log!$K$2:$K$1001,"ผ่าน")</f>
        <v/>
      </c>
      <c r="E16" s="8">
        <f>SUMIFS(Green_Star_Requests!$H$2:$H$501,Green_Star_Requests!$B$2:$B$501,A16,Green_Star_Requests!$C$2:$C$501,B16,Green_Star_Requests!$J$2:$J$501,"อนุมัติ")</f>
        <v/>
      </c>
      <c r="F16" s="8">
        <f>D16+E16</f>
        <v/>
      </c>
      <c r="G16" s="8">
        <f>MAX(0,12-D16)</f>
        <v/>
      </c>
    </row>
    <row r="17">
      <c r="D17" s="8">
        <f>COUNTIFS(Attendance_Log!$C$2:$C$1001,A17,Attendance_Log!$D$2:$D$1001,B17,Attendance_Log!$O$2:$O$1001,"อนุมัติ",Attendance_Log!$K$2:$K$1001,"ผ่าน")</f>
        <v/>
      </c>
      <c r="E17" s="8">
        <f>SUMIFS(Green_Star_Requests!$H$2:$H$501,Green_Star_Requests!$B$2:$B$501,A17,Green_Star_Requests!$C$2:$C$501,B17,Green_Star_Requests!$J$2:$J$501,"อนุมัติ")</f>
        <v/>
      </c>
      <c r="F17" s="8">
        <f>D17+E17</f>
        <v/>
      </c>
      <c r="G17" s="8">
        <f>MAX(0,12-D17)</f>
        <v/>
      </c>
    </row>
    <row r="18">
      <c r="D18" s="8">
        <f>COUNTIFS(Attendance_Log!$C$2:$C$1001,A18,Attendance_Log!$D$2:$D$1001,B18,Attendance_Log!$O$2:$O$1001,"อนุมัติ",Attendance_Log!$K$2:$K$1001,"ผ่าน")</f>
        <v/>
      </c>
      <c r="E18" s="8">
        <f>SUMIFS(Green_Star_Requests!$H$2:$H$501,Green_Star_Requests!$B$2:$B$501,A18,Green_Star_Requests!$C$2:$C$501,B18,Green_Star_Requests!$J$2:$J$501,"อนุมัติ")</f>
        <v/>
      </c>
      <c r="F18" s="8">
        <f>D18+E18</f>
        <v/>
      </c>
      <c r="G18" s="8">
        <f>MAX(0,12-D18)</f>
        <v/>
      </c>
    </row>
    <row r="19">
      <c r="D19" s="8">
        <f>COUNTIFS(Attendance_Log!$C$2:$C$1001,A19,Attendance_Log!$D$2:$D$1001,B19,Attendance_Log!$O$2:$O$1001,"อนุมัติ",Attendance_Log!$K$2:$K$1001,"ผ่าน")</f>
        <v/>
      </c>
      <c r="E19" s="8">
        <f>SUMIFS(Green_Star_Requests!$H$2:$H$501,Green_Star_Requests!$B$2:$B$501,A19,Green_Star_Requests!$C$2:$C$501,B19,Green_Star_Requests!$J$2:$J$501,"อนุมัติ")</f>
        <v/>
      </c>
      <c r="F19" s="8">
        <f>D19+E19</f>
        <v/>
      </c>
      <c r="G19" s="8">
        <f>MAX(0,12-D19)</f>
        <v/>
      </c>
    </row>
    <row r="20">
      <c r="D20" s="8">
        <f>COUNTIFS(Attendance_Log!$C$2:$C$1001,A20,Attendance_Log!$D$2:$D$1001,B20,Attendance_Log!$O$2:$O$1001,"อนุมัติ",Attendance_Log!$K$2:$K$1001,"ผ่าน")</f>
        <v/>
      </c>
      <c r="E20" s="8">
        <f>SUMIFS(Green_Star_Requests!$H$2:$H$501,Green_Star_Requests!$B$2:$B$501,A20,Green_Star_Requests!$C$2:$C$501,B20,Green_Star_Requests!$J$2:$J$501,"อนุมัติ")</f>
        <v/>
      </c>
      <c r="F20" s="8">
        <f>D20+E20</f>
        <v/>
      </c>
      <c r="G20" s="8">
        <f>MAX(0,12-D20)</f>
        <v/>
      </c>
    </row>
    <row r="21">
      <c r="D21" s="8">
        <f>COUNTIFS(Attendance_Log!$C$2:$C$1001,A21,Attendance_Log!$D$2:$D$1001,B21,Attendance_Log!$O$2:$O$1001,"อนุมัติ",Attendance_Log!$K$2:$K$1001,"ผ่าน")</f>
        <v/>
      </c>
      <c r="E21" s="8">
        <f>SUMIFS(Green_Star_Requests!$H$2:$H$501,Green_Star_Requests!$B$2:$B$501,A21,Green_Star_Requests!$C$2:$C$501,B21,Green_Star_Requests!$J$2:$J$501,"อนุมัติ")</f>
        <v/>
      </c>
      <c r="F21" s="8">
        <f>D21+E21</f>
        <v/>
      </c>
      <c r="G21" s="8">
        <f>MAX(0,12-D21)</f>
        <v/>
      </c>
    </row>
    <row r="22">
      <c r="D22" s="8">
        <f>COUNTIFS(Attendance_Log!$C$2:$C$1001,A22,Attendance_Log!$D$2:$D$1001,B22,Attendance_Log!$O$2:$O$1001,"อนุมัติ",Attendance_Log!$K$2:$K$1001,"ผ่าน")</f>
        <v/>
      </c>
      <c r="E22" s="8">
        <f>SUMIFS(Green_Star_Requests!$H$2:$H$501,Green_Star_Requests!$B$2:$B$501,A22,Green_Star_Requests!$C$2:$C$501,B22,Green_Star_Requests!$J$2:$J$501,"อนุมัติ")</f>
        <v/>
      </c>
      <c r="F22" s="8">
        <f>D22+E22</f>
        <v/>
      </c>
      <c r="G22" s="8">
        <f>MAX(0,12-D22)</f>
        <v/>
      </c>
    </row>
    <row r="23">
      <c r="D23" s="8">
        <f>COUNTIFS(Attendance_Log!$C$2:$C$1001,A23,Attendance_Log!$D$2:$D$1001,B23,Attendance_Log!$O$2:$O$1001,"อนุมัติ",Attendance_Log!$K$2:$K$1001,"ผ่าน")</f>
        <v/>
      </c>
      <c r="E23" s="8">
        <f>SUMIFS(Green_Star_Requests!$H$2:$H$501,Green_Star_Requests!$B$2:$B$501,A23,Green_Star_Requests!$C$2:$C$501,B23,Green_Star_Requests!$J$2:$J$501,"อนุมัติ")</f>
        <v/>
      </c>
      <c r="F23" s="8">
        <f>D23+E23</f>
        <v/>
      </c>
      <c r="G23" s="8">
        <f>MAX(0,12-D23)</f>
        <v/>
      </c>
    </row>
    <row r="24">
      <c r="D24" s="8">
        <f>COUNTIFS(Attendance_Log!$C$2:$C$1001,A24,Attendance_Log!$D$2:$D$1001,B24,Attendance_Log!$O$2:$O$1001,"อนุมัติ",Attendance_Log!$K$2:$K$1001,"ผ่าน")</f>
        <v/>
      </c>
      <c r="E24" s="8">
        <f>SUMIFS(Green_Star_Requests!$H$2:$H$501,Green_Star_Requests!$B$2:$B$501,A24,Green_Star_Requests!$C$2:$C$501,B24,Green_Star_Requests!$J$2:$J$501,"อนุมัติ")</f>
        <v/>
      </c>
      <c r="F24" s="8">
        <f>D24+E24</f>
        <v/>
      </c>
      <c r="G24" s="8">
        <f>MAX(0,12-D24)</f>
        <v/>
      </c>
    </row>
    <row r="25">
      <c r="D25" s="8">
        <f>COUNTIFS(Attendance_Log!$C$2:$C$1001,A25,Attendance_Log!$D$2:$D$1001,B25,Attendance_Log!$O$2:$O$1001,"อนุมัติ",Attendance_Log!$K$2:$K$1001,"ผ่าน")</f>
        <v/>
      </c>
      <c r="E25" s="8">
        <f>SUMIFS(Green_Star_Requests!$H$2:$H$501,Green_Star_Requests!$B$2:$B$501,A25,Green_Star_Requests!$C$2:$C$501,B25,Green_Star_Requests!$J$2:$J$501,"อนุมัติ")</f>
        <v/>
      </c>
      <c r="F25" s="8">
        <f>D25+E25</f>
        <v/>
      </c>
      <c r="G25" s="8">
        <f>MAX(0,12-D25)</f>
        <v/>
      </c>
    </row>
    <row r="26">
      <c r="D26" s="8">
        <f>COUNTIFS(Attendance_Log!$C$2:$C$1001,A26,Attendance_Log!$D$2:$D$1001,B26,Attendance_Log!$O$2:$O$1001,"อนุมัติ",Attendance_Log!$K$2:$K$1001,"ผ่าน")</f>
        <v/>
      </c>
      <c r="E26" s="8">
        <f>SUMIFS(Green_Star_Requests!$H$2:$H$501,Green_Star_Requests!$B$2:$B$501,A26,Green_Star_Requests!$C$2:$C$501,B26,Green_Star_Requests!$J$2:$J$501,"อนุมัติ")</f>
        <v/>
      </c>
      <c r="F26" s="8">
        <f>D26+E26</f>
        <v/>
      </c>
      <c r="G26" s="8">
        <f>MAX(0,12-D26)</f>
        <v/>
      </c>
    </row>
    <row r="27">
      <c r="D27" s="8">
        <f>COUNTIFS(Attendance_Log!$C$2:$C$1001,A27,Attendance_Log!$D$2:$D$1001,B27,Attendance_Log!$O$2:$O$1001,"อนุมัติ",Attendance_Log!$K$2:$K$1001,"ผ่าน")</f>
        <v/>
      </c>
      <c r="E27" s="8">
        <f>SUMIFS(Green_Star_Requests!$H$2:$H$501,Green_Star_Requests!$B$2:$B$501,A27,Green_Star_Requests!$C$2:$C$501,B27,Green_Star_Requests!$J$2:$J$501,"อนุมัติ")</f>
        <v/>
      </c>
      <c r="F27" s="8">
        <f>D27+E27</f>
        <v/>
      </c>
      <c r="G27" s="8">
        <f>MAX(0,12-D27)</f>
        <v/>
      </c>
    </row>
    <row r="28">
      <c r="D28" s="8">
        <f>COUNTIFS(Attendance_Log!$C$2:$C$1001,A28,Attendance_Log!$D$2:$D$1001,B28,Attendance_Log!$O$2:$O$1001,"อนุมัติ",Attendance_Log!$K$2:$K$1001,"ผ่าน")</f>
        <v/>
      </c>
      <c r="E28" s="8">
        <f>SUMIFS(Green_Star_Requests!$H$2:$H$501,Green_Star_Requests!$B$2:$B$501,A28,Green_Star_Requests!$C$2:$C$501,B28,Green_Star_Requests!$J$2:$J$501,"อนุมัติ")</f>
        <v/>
      </c>
      <c r="F28" s="8">
        <f>D28+E28</f>
        <v/>
      </c>
      <c r="G28" s="8">
        <f>MAX(0,12-D28)</f>
        <v/>
      </c>
    </row>
    <row r="29">
      <c r="D29" s="8">
        <f>COUNTIFS(Attendance_Log!$C$2:$C$1001,A29,Attendance_Log!$D$2:$D$1001,B29,Attendance_Log!$O$2:$O$1001,"อนุมัติ",Attendance_Log!$K$2:$K$1001,"ผ่าน")</f>
        <v/>
      </c>
      <c r="E29" s="8">
        <f>SUMIFS(Green_Star_Requests!$H$2:$H$501,Green_Star_Requests!$B$2:$B$501,A29,Green_Star_Requests!$C$2:$C$501,B29,Green_Star_Requests!$J$2:$J$501,"อนุมัติ")</f>
        <v/>
      </c>
      <c r="F29" s="8">
        <f>D29+E29</f>
        <v/>
      </c>
      <c r="G29" s="8">
        <f>MAX(0,12-D29)</f>
        <v/>
      </c>
    </row>
    <row r="30">
      <c r="D30" s="8">
        <f>COUNTIFS(Attendance_Log!$C$2:$C$1001,A30,Attendance_Log!$D$2:$D$1001,B30,Attendance_Log!$O$2:$O$1001,"อนุมัติ",Attendance_Log!$K$2:$K$1001,"ผ่าน")</f>
        <v/>
      </c>
      <c r="E30" s="8">
        <f>SUMIFS(Green_Star_Requests!$H$2:$H$501,Green_Star_Requests!$B$2:$B$501,A30,Green_Star_Requests!$C$2:$C$501,B30,Green_Star_Requests!$J$2:$J$501,"อนุมัติ")</f>
        <v/>
      </c>
      <c r="F30" s="8">
        <f>D30+E30</f>
        <v/>
      </c>
      <c r="G30" s="8">
        <f>MAX(0,12-D30)</f>
        <v/>
      </c>
    </row>
    <row r="31">
      <c r="D31" s="8">
        <f>COUNTIFS(Attendance_Log!$C$2:$C$1001,A31,Attendance_Log!$D$2:$D$1001,B31,Attendance_Log!$O$2:$O$1001,"อนุมัติ",Attendance_Log!$K$2:$K$1001,"ผ่าน")</f>
        <v/>
      </c>
      <c r="E31" s="8">
        <f>SUMIFS(Green_Star_Requests!$H$2:$H$501,Green_Star_Requests!$B$2:$B$501,A31,Green_Star_Requests!$C$2:$C$501,B31,Green_Star_Requests!$J$2:$J$501,"อนุมัติ")</f>
        <v/>
      </c>
      <c r="F31" s="8">
        <f>D31+E31</f>
        <v/>
      </c>
      <c r="G31" s="8">
        <f>MAX(0,12-D31)</f>
        <v/>
      </c>
    </row>
    <row r="32">
      <c r="D32" s="8">
        <f>COUNTIFS(Attendance_Log!$C$2:$C$1001,A32,Attendance_Log!$D$2:$D$1001,B32,Attendance_Log!$O$2:$O$1001,"อนุมัติ",Attendance_Log!$K$2:$K$1001,"ผ่าน")</f>
        <v/>
      </c>
      <c r="E32" s="8">
        <f>SUMIFS(Green_Star_Requests!$H$2:$H$501,Green_Star_Requests!$B$2:$B$501,A32,Green_Star_Requests!$C$2:$C$501,B32,Green_Star_Requests!$J$2:$J$501,"อนุมัติ")</f>
        <v/>
      </c>
      <c r="F32" s="8">
        <f>D32+E32</f>
        <v/>
      </c>
      <c r="G32" s="8">
        <f>MAX(0,12-D32)</f>
        <v/>
      </c>
    </row>
    <row r="33">
      <c r="D33" s="8">
        <f>COUNTIFS(Attendance_Log!$C$2:$C$1001,A33,Attendance_Log!$D$2:$D$1001,B33,Attendance_Log!$O$2:$O$1001,"อนุมัติ",Attendance_Log!$K$2:$K$1001,"ผ่าน")</f>
        <v/>
      </c>
      <c r="E33" s="8">
        <f>SUMIFS(Green_Star_Requests!$H$2:$H$501,Green_Star_Requests!$B$2:$B$501,A33,Green_Star_Requests!$C$2:$C$501,B33,Green_Star_Requests!$J$2:$J$501,"อนุมัติ")</f>
        <v/>
      </c>
      <c r="F33" s="8">
        <f>D33+E33</f>
        <v/>
      </c>
      <c r="G33" s="8">
        <f>MAX(0,12-D33)</f>
        <v/>
      </c>
    </row>
    <row r="34">
      <c r="D34" s="8">
        <f>COUNTIFS(Attendance_Log!$C$2:$C$1001,A34,Attendance_Log!$D$2:$D$1001,B34,Attendance_Log!$O$2:$O$1001,"อนุมัติ",Attendance_Log!$K$2:$K$1001,"ผ่าน")</f>
        <v/>
      </c>
      <c r="E34" s="8">
        <f>SUMIFS(Green_Star_Requests!$H$2:$H$501,Green_Star_Requests!$B$2:$B$501,A34,Green_Star_Requests!$C$2:$C$501,B34,Green_Star_Requests!$J$2:$J$501,"อนุมัติ")</f>
        <v/>
      </c>
      <c r="F34" s="8">
        <f>D34+E34</f>
        <v/>
      </c>
      <c r="G34" s="8">
        <f>MAX(0,12-D34)</f>
        <v/>
      </c>
    </row>
    <row r="35">
      <c r="D35" s="8">
        <f>COUNTIFS(Attendance_Log!$C$2:$C$1001,A35,Attendance_Log!$D$2:$D$1001,B35,Attendance_Log!$O$2:$O$1001,"อนุมัติ",Attendance_Log!$K$2:$K$1001,"ผ่าน")</f>
        <v/>
      </c>
      <c r="E35" s="8">
        <f>SUMIFS(Green_Star_Requests!$H$2:$H$501,Green_Star_Requests!$B$2:$B$501,A35,Green_Star_Requests!$C$2:$C$501,B35,Green_Star_Requests!$J$2:$J$501,"อนุมัติ")</f>
        <v/>
      </c>
      <c r="F35" s="8">
        <f>D35+E35</f>
        <v/>
      </c>
      <c r="G35" s="8">
        <f>MAX(0,12-D35)</f>
        <v/>
      </c>
    </row>
    <row r="36">
      <c r="D36" s="8">
        <f>COUNTIFS(Attendance_Log!$C$2:$C$1001,A36,Attendance_Log!$D$2:$D$1001,B36,Attendance_Log!$O$2:$O$1001,"อนุมัติ",Attendance_Log!$K$2:$K$1001,"ผ่าน")</f>
        <v/>
      </c>
      <c r="E36" s="8">
        <f>SUMIFS(Green_Star_Requests!$H$2:$H$501,Green_Star_Requests!$B$2:$B$501,A36,Green_Star_Requests!$C$2:$C$501,B36,Green_Star_Requests!$J$2:$J$501,"อนุมัติ")</f>
        <v/>
      </c>
      <c r="F36" s="8">
        <f>D36+E36</f>
        <v/>
      </c>
      <c r="G36" s="8">
        <f>MAX(0,12-D36)</f>
        <v/>
      </c>
    </row>
    <row r="37">
      <c r="D37" s="8">
        <f>COUNTIFS(Attendance_Log!$C$2:$C$1001,A37,Attendance_Log!$D$2:$D$1001,B37,Attendance_Log!$O$2:$O$1001,"อนุมัติ",Attendance_Log!$K$2:$K$1001,"ผ่าน")</f>
        <v/>
      </c>
      <c r="E37" s="8">
        <f>SUMIFS(Green_Star_Requests!$H$2:$H$501,Green_Star_Requests!$B$2:$B$501,A37,Green_Star_Requests!$C$2:$C$501,B37,Green_Star_Requests!$J$2:$J$501,"อนุมัติ")</f>
        <v/>
      </c>
      <c r="F37" s="8">
        <f>D37+E37</f>
        <v/>
      </c>
      <c r="G37" s="8">
        <f>MAX(0,12-D37)</f>
        <v/>
      </c>
    </row>
    <row r="38">
      <c r="D38" s="8">
        <f>COUNTIFS(Attendance_Log!$C$2:$C$1001,A38,Attendance_Log!$D$2:$D$1001,B38,Attendance_Log!$O$2:$O$1001,"อนุมัติ",Attendance_Log!$K$2:$K$1001,"ผ่าน")</f>
        <v/>
      </c>
      <c r="E38" s="8">
        <f>SUMIFS(Green_Star_Requests!$H$2:$H$501,Green_Star_Requests!$B$2:$B$501,A38,Green_Star_Requests!$C$2:$C$501,B38,Green_Star_Requests!$J$2:$J$501,"อนุมัติ")</f>
        <v/>
      </c>
      <c r="F38" s="8">
        <f>D38+E38</f>
        <v/>
      </c>
      <c r="G38" s="8">
        <f>MAX(0,12-D38)</f>
        <v/>
      </c>
    </row>
    <row r="39">
      <c r="D39" s="8">
        <f>COUNTIFS(Attendance_Log!$C$2:$C$1001,A39,Attendance_Log!$D$2:$D$1001,B39,Attendance_Log!$O$2:$O$1001,"อนุมัติ",Attendance_Log!$K$2:$K$1001,"ผ่าน")</f>
        <v/>
      </c>
      <c r="E39" s="8">
        <f>SUMIFS(Green_Star_Requests!$H$2:$H$501,Green_Star_Requests!$B$2:$B$501,A39,Green_Star_Requests!$C$2:$C$501,B39,Green_Star_Requests!$J$2:$J$501,"อนุมัติ")</f>
        <v/>
      </c>
      <c r="F39" s="8">
        <f>D39+E39</f>
        <v/>
      </c>
      <c r="G39" s="8">
        <f>MAX(0,12-D39)</f>
        <v/>
      </c>
    </row>
    <row r="40">
      <c r="D40" s="8">
        <f>COUNTIFS(Attendance_Log!$C$2:$C$1001,A40,Attendance_Log!$D$2:$D$1001,B40,Attendance_Log!$O$2:$O$1001,"อนุมัติ",Attendance_Log!$K$2:$K$1001,"ผ่าน")</f>
        <v/>
      </c>
      <c r="E40" s="8">
        <f>SUMIFS(Green_Star_Requests!$H$2:$H$501,Green_Star_Requests!$B$2:$B$501,A40,Green_Star_Requests!$C$2:$C$501,B40,Green_Star_Requests!$J$2:$J$501,"อนุมัติ")</f>
        <v/>
      </c>
      <c r="F40" s="8">
        <f>D40+E40</f>
        <v/>
      </c>
      <c r="G40" s="8">
        <f>MAX(0,12-D40)</f>
        <v/>
      </c>
    </row>
    <row r="41">
      <c r="D41" s="8">
        <f>COUNTIFS(Attendance_Log!$C$2:$C$1001,A41,Attendance_Log!$D$2:$D$1001,B41,Attendance_Log!$O$2:$O$1001,"อนุมัติ",Attendance_Log!$K$2:$K$1001,"ผ่าน")</f>
        <v/>
      </c>
      <c r="E41" s="8">
        <f>SUMIFS(Green_Star_Requests!$H$2:$H$501,Green_Star_Requests!$B$2:$B$501,A41,Green_Star_Requests!$C$2:$C$501,B41,Green_Star_Requests!$J$2:$J$501,"อนุมัติ")</f>
        <v/>
      </c>
      <c r="F41" s="8">
        <f>D41+E41</f>
        <v/>
      </c>
      <c r="G41" s="8">
        <f>MAX(0,12-D41)</f>
        <v/>
      </c>
    </row>
    <row r="42">
      <c r="D42" s="8">
        <f>COUNTIFS(Attendance_Log!$C$2:$C$1001,A42,Attendance_Log!$D$2:$D$1001,B42,Attendance_Log!$O$2:$O$1001,"อนุมัติ",Attendance_Log!$K$2:$K$1001,"ผ่าน")</f>
        <v/>
      </c>
      <c r="E42" s="8">
        <f>SUMIFS(Green_Star_Requests!$H$2:$H$501,Green_Star_Requests!$B$2:$B$501,A42,Green_Star_Requests!$C$2:$C$501,B42,Green_Star_Requests!$J$2:$J$501,"อนุมัติ")</f>
        <v/>
      </c>
      <c r="F42" s="8">
        <f>D42+E42</f>
        <v/>
      </c>
      <c r="G42" s="8">
        <f>MAX(0,12-D42)</f>
        <v/>
      </c>
    </row>
    <row r="43">
      <c r="D43" s="8">
        <f>COUNTIFS(Attendance_Log!$C$2:$C$1001,A43,Attendance_Log!$D$2:$D$1001,B43,Attendance_Log!$O$2:$O$1001,"อนุมัติ",Attendance_Log!$K$2:$K$1001,"ผ่าน")</f>
        <v/>
      </c>
      <c r="E43" s="8">
        <f>SUMIFS(Green_Star_Requests!$H$2:$H$501,Green_Star_Requests!$B$2:$B$501,A43,Green_Star_Requests!$C$2:$C$501,B43,Green_Star_Requests!$J$2:$J$501,"อนุมัติ")</f>
        <v/>
      </c>
      <c r="F43" s="8">
        <f>D43+E43</f>
        <v/>
      </c>
      <c r="G43" s="8">
        <f>MAX(0,12-D43)</f>
        <v/>
      </c>
    </row>
    <row r="44">
      <c r="D44" s="8">
        <f>COUNTIFS(Attendance_Log!$C$2:$C$1001,A44,Attendance_Log!$D$2:$D$1001,B44,Attendance_Log!$O$2:$O$1001,"อนุมัติ",Attendance_Log!$K$2:$K$1001,"ผ่าน")</f>
        <v/>
      </c>
      <c r="E44" s="8">
        <f>SUMIFS(Green_Star_Requests!$H$2:$H$501,Green_Star_Requests!$B$2:$B$501,A44,Green_Star_Requests!$C$2:$C$501,B44,Green_Star_Requests!$J$2:$J$501,"อนุมัติ")</f>
        <v/>
      </c>
      <c r="F44" s="8">
        <f>D44+E44</f>
        <v/>
      </c>
      <c r="G44" s="8">
        <f>MAX(0,12-D44)</f>
        <v/>
      </c>
    </row>
    <row r="45">
      <c r="D45" s="8">
        <f>COUNTIFS(Attendance_Log!$C$2:$C$1001,A45,Attendance_Log!$D$2:$D$1001,B45,Attendance_Log!$O$2:$O$1001,"อนุมัติ",Attendance_Log!$K$2:$K$1001,"ผ่าน")</f>
        <v/>
      </c>
      <c r="E45" s="8">
        <f>SUMIFS(Green_Star_Requests!$H$2:$H$501,Green_Star_Requests!$B$2:$B$501,A45,Green_Star_Requests!$C$2:$C$501,B45,Green_Star_Requests!$J$2:$J$501,"อนุมัติ")</f>
        <v/>
      </c>
      <c r="F45" s="8">
        <f>D45+E45</f>
        <v/>
      </c>
      <c r="G45" s="8">
        <f>MAX(0,12-D45)</f>
        <v/>
      </c>
    </row>
    <row r="46">
      <c r="D46" s="8">
        <f>COUNTIFS(Attendance_Log!$C$2:$C$1001,A46,Attendance_Log!$D$2:$D$1001,B46,Attendance_Log!$O$2:$O$1001,"อนุมัติ",Attendance_Log!$K$2:$K$1001,"ผ่าน")</f>
        <v/>
      </c>
      <c r="E46" s="8">
        <f>SUMIFS(Green_Star_Requests!$H$2:$H$501,Green_Star_Requests!$B$2:$B$501,A46,Green_Star_Requests!$C$2:$C$501,B46,Green_Star_Requests!$J$2:$J$501,"อนุมัติ")</f>
        <v/>
      </c>
      <c r="F46" s="8">
        <f>D46+E46</f>
        <v/>
      </c>
      <c r="G46" s="8">
        <f>MAX(0,12-D46)</f>
        <v/>
      </c>
    </row>
    <row r="47">
      <c r="D47" s="8">
        <f>COUNTIFS(Attendance_Log!$C$2:$C$1001,A47,Attendance_Log!$D$2:$D$1001,B47,Attendance_Log!$O$2:$O$1001,"อนุมัติ",Attendance_Log!$K$2:$K$1001,"ผ่าน")</f>
        <v/>
      </c>
      <c r="E47" s="8">
        <f>SUMIFS(Green_Star_Requests!$H$2:$H$501,Green_Star_Requests!$B$2:$B$501,A47,Green_Star_Requests!$C$2:$C$501,B47,Green_Star_Requests!$J$2:$J$501,"อนุมัติ")</f>
        <v/>
      </c>
      <c r="F47" s="8">
        <f>D47+E47</f>
        <v/>
      </c>
      <c r="G47" s="8">
        <f>MAX(0,12-D47)</f>
        <v/>
      </c>
    </row>
    <row r="48">
      <c r="D48" s="8">
        <f>COUNTIFS(Attendance_Log!$C$2:$C$1001,A48,Attendance_Log!$D$2:$D$1001,B48,Attendance_Log!$O$2:$O$1001,"อนุมัติ",Attendance_Log!$K$2:$K$1001,"ผ่าน")</f>
        <v/>
      </c>
      <c r="E48" s="8">
        <f>SUMIFS(Green_Star_Requests!$H$2:$H$501,Green_Star_Requests!$B$2:$B$501,A48,Green_Star_Requests!$C$2:$C$501,B48,Green_Star_Requests!$J$2:$J$501,"อนุมัติ")</f>
        <v/>
      </c>
      <c r="F48" s="8">
        <f>D48+E48</f>
        <v/>
      </c>
      <c r="G48" s="8">
        <f>MAX(0,12-D48)</f>
        <v/>
      </c>
    </row>
    <row r="49">
      <c r="D49" s="8">
        <f>COUNTIFS(Attendance_Log!$C$2:$C$1001,A49,Attendance_Log!$D$2:$D$1001,B49,Attendance_Log!$O$2:$O$1001,"อนุมัติ",Attendance_Log!$K$2:$K$1001,"ผ่าน")</f>
        <v/>
      </c>
      <c r="E49" s="8">
        <f>SUMIFS(Green_Star_Requests!$H$2:$H$501,Green_Star_Requests!$B$2:$B$501,A49,Green_Star_Requests!$C$2:$C$501,B49,Green_Star_Requests!$J$2:$J$501,"อนุมัติ")</f>
        <v/>
      </c>
      <c r="F49" s="8">
        <f>D49+E49</f>
        <v/>
      </c>
      <c r="G49" s="8">
        <f>MAX(0,12-D49)</f>
        <v/>
      </c>
    </row>
    <row r="50">
      <c r="D50" s="8">
        <f>COUNTIFS(Attendance_Log!$C$2:$C$1001,A50,Attendance_Log!$D$2:$D$1001,B50,Attendance_Log!$O$2:$O$1001,"อนุมัติ",Attendance_Log!$K$2:$K$1001,"ผ่าน")</f>
        <v/>
      </c>
      <c r="E50" s="8">
        <f>SUMIFS(Green_Star_Requests!$H$2:$H$501,Green_Star_Requests!$B$2:$B$501,A50,Green_Star_Requests!$C$2:$C$501,B50,Green_Star_Requests!$J$2:$J$501,"อนุมัติ")</f>
        <v/>
      </c>
      <c r="F50" s="8">
        <f>D50+E50</f>
        <v/>
      </c>
      <c r="G50" s="8">
        <f>MAX(0,12-D50)</f>
        <v/>
      </c>
    </row>
    <row r="51">
      <c r="D51" s="8">
        <f>COUNTIFS(Attendance_Log!$C$2:$C$1001,A51,Attendance_Log!$D$2:$D$1001,B51,Attendance_Log!$O$2:$O$1001,"อนุมัติ",Attendance_Log!$K$2:$K$1001,"ผ่าน")</f>
        <v/>
      </c>
      <c r="E51" s="8">
        <f>SUMIFS(Green_Star_Requests!$H$2:$H$501,Green_Star_Requests!$B$2:$B$501,A51,Green_Star_Requests!$C$2:$C$501,B51,Green_Star_Requests!$J$2:$J$501,"อนุมัติ")</f>
        <v/>
      </c>
      <c r="F51" s="8">
        <f>D51+E51</f>
        <v/>
      </c>
      <c r="G51" s="8">
        <f>MAX(0,12-D51)</f>
        <v/>
      </c>
    </row>
    <row r="52">
      <c r="D52" s="8">
        <f>COUNTIFS(Attendance_Log!$C$2:$C$1001,A52,Attendance_Log!$D$2:$D$1001,B52,Attendance_Log!$O$2:$O$1001,"อนุมัติ",Attendance_Log!$K$2:$K$1001,"ผ่าน")</f>
        <v/>
      </c>
      <c r="E52" s="8">
        <f>SUMIFS(Green_Star_Requests!$H$2:$H$501,Green_Star_Requests!$B$2:$B$501,A52,Green_Star_Requests!$C$2:$C$501,B52,Green_Star_Requests!$J$2:$J$501,"อนุมัติ")</f>
        <v/>
      </c>
      <c r="F52" s="8">
        <f>D52+E52</f>
        <v/>
      </c>
      <c r="G52" s="8">
        <f>MAX(0,12-D52)</f>
        <v/>
      </c>
    </row>
    <row r="53">
      <c r="D53" s="8">
        <f>COUNTIFS(Attendance_Log!$C$2:$C$1001,A53,Attendance_Log!$D$2:$D$1001,B53,Attendance_Log!$O$2:$O$1001,"อนุมัติ",Attendance_Log!$K$2:$K$1001,"ผ่าน")</f>
        <v/>
      </c>
      <c r="E53" s="8">
        <f>SUMIFS(Green_Star_Requests!$H$2:$H$501,Green_Star_Requests!$B$2:$B$501,A53,Green_Star_Requests!$C$2:$C$501,B53,Green_Star_Requests!$J$2:$J$501,"อนุมัติ")</f>
        <v/>
      </c>
      <c r="F53" s="8">
        <f>D53+E53</f>
        <v/>
      </c>
      <c r="G53" s="8">
        <f>MAX(0,12-D53)</f>
        <v/>
      </c>
    </row>
    <row r="54">
      <c r="D54" s="8">
        <f>COUNTIFS(Attendance_Log!$C$2:$C$1001,A54,Attendance_Log!$D$2:$D$1001,B54,Attendance_Log!$O$2:$O$1001,"อนุมัติ",Attendance_Log!$K$2:$K$1001,"ผ่าน")</f>
        <v/>
      </c>
      <c r="E54" s="8">
        <f>SUMIFS(Green_Star_Requests!$H$2:$H$501,Green_Star_Requests!$B$2:$B$501,A54,Green_Star_Requests!$C$2:$C$501,B54,Green_Star_Requests!$J$2:$J$501,"อนุมัติ")</f>
        <v/>
      </c>
      <c r="F54" s="8">
        <f>D54+E54</f>
        <v/>
      </c>
      <c r="G54" s="8">
        <f>MAX(0,12-D54)</f>
        <v/>
      </c>
    </row>
    <row r="55">
      <c r="D55" s="8">
        <f>COUNTIFS(Attendance_Log!$C$2:$C$1001,A55,Attendance_Log!$D$2:$D$1001,B55,Attendance_Log!$O$2:$O$1001,"อนุมัติ",Attendance_Log!$K$2:$K$1001,"ผ่าน")</f>
        <v/>
      </c>
      <c r="E55" s="8">
        <f>SUMIFS(Green_Star_Requests!$H$2:$H$501,Green_Star_Requests!$B$2:$B$501,A55,Green_Star_Requests!$C$2:$C$501,B55,Green_Star_Requests!$J$2:$J$501,"อนุมัติ")</f>
        <v/>
      </c>
      <c r="F55" s="8">
        <f>D55+E55</f>
        <v/>
      </c>
      <c r="G55" s="8">
        <f>MAX(0,12-D55)</f>
        <v/>
      </c>
    </row>
    <row r="56">
      <c r="D56" s="8">
        <f>COUNTIFS(Attendance_Log!$C$2:$C$1001,A56,Attendance_Log!$D$2:$D$1001,B56,Attendance_Log!$O$2:$O$1001,"อนุมัติ",Attendance_Log!$K$2:$K$1001,"ผ่าน")</f>
        <v/>
      </c>
      <c r="E56" s="8">
        <f>SUMIFS(Green_Star_Requests!$H$2:$H$501,Green_Star_Requests!$B$2:$B$501,A56,Green_Star_Requests!$C$2:$C$501,B56,Green_Star_Requests!$J$2:$J$501,"อนุมัติ")</f>
        <v/>
      </c>
      <c r="F56" s="8">
        <f>D56+E56</f>
        <v/>
      </c>
      <c r="G56" s="8">
        <f>MAX(0,12-D56)</f>
        <v/>
      </c>
    </row>
    <row r="57">
      <c r="D57" s="8">
        <f>COUNTIFS(Attendance_Log!$C$2:$C$1001,A57,Attendance_Log!$D$2:$D$1001,B57,Attendance_Log!$O$2:$O$1001,"อนุมัติ",Attendance_Log!$K$2:$K$1001,"ผ่าน")</f>
        <v/>
      </c>
      <c r="E57" s="8">
        <f>SUMIFS(Green_Star_Requests!$H$2:$H$501,Green_Star_Requests!$B$2:$B$501,A57,Green_Star_Requests!$C$2:$C$501,B57,Green_Star_Requests!$J$2:$J$501,"อนุมัติ")</f>
        <v/>
      </c>
      <c r="F57" s="8">
        <f>D57+E57</f>
        <v/>
      </c>
      <c r="G57" s="8">
        <f>MAX(0,12-D57)</f>
        <v/>
      </c>
    </row>
    <row r="58">
      <c r="D58" s="8">
        <f>COUNTIFS(Attendance_Log!$C$2:$C$1001,A58,Attendance_Log!$D$2:$D$1001,B58,Attendance_Log!$O$2:$O$1001,"อนุมัติ",Attendance_Log!$K$2:$K$1001,"ผ่าน")</f>
        <v/>
      </c>
      <c r="E58" s="8">
        <f>SUMIFS(Green_Star_Requests!$H$2:$H$501,Green_Star_Requests!$B$2:$B$501,A58,Green_Star_Requests!$C$2:$C$501,B58,Green_Star_Requests!$J$2:$J$501,"อนุมัติ")</f>
        <v/>
      </c>
      <c r="F58" s="8">
        <f>D58+E58</f>
        <v/>
      </c>
      <c r="G58" s="8">
        <f>MAX(0,12-D58)</f>
        <v/>
      </c>
    </row>
    <row r="59">
      <c r="D59" s="8">
        <f>COUNTIFS(Attendance_Log!$C$2:$C$1001,A59,Attendance_Log!$D$2:$D$1001,B59,Attendance_Log!$O$2:$O$1001,"อนุมัติ",Attendance_Log!$K$2:$K$1001,"ผ่าน")</f>
        <v/>
      </c>
      <c r="E59" s="8">
        <f>SUMIFS(Green_Star_Requests!$H$2:$H$501,Green_Star_Requests!$B$2:$B$501,A59,Green_Star_Requests!$C$2:$C$501,B59,Green_Star_Requests!$J$2:$J$501,"อนุมัติ")</f>
        <v/>
      </c>
      <c r="F59" s="8">
        <f>D59+E59</f>
        <v/>
      </c>
      <c r="G59" s="8">
        <f>MAX(0,12-D59)</f>
        <v/>
      </c>
    </row>
    <row r="60">
      <c r="D60" s="8">
        <f>COUNTIFS(Attendance_Log!$C$2:$C$1001,A60,Attendance_Log!$D$2:$D$1001,B60,Attendance_Log!$O$2:$O$1001,"อนุมัติ",Attendance_Log!$K$2:$K$1001,"ผ่าน")</f>
        <v/>
      </c>
      <c r="E60" s="8">
        <f>SUMIFS(Green_Star_Requests!$H$2:$H$501,Green_Star_Requests!$B$2:$B$501,A60,Green_Star_Requests!$C$2:$C$501,B60,Green_Star_Requests!$J$2:$J$501,"อนุมัติ")</f>
        <v/>
      </c>
      <c r="F60" s="8">
        <f>D60+E60</f>
        <v/>
      </c>
      <c r="G60" s="8">
        <f>MAX(0,12-D60)</f>
        <v/>
      </c>
    </row>
    <row r="61">
      <c r="D61" s="8">
        <f>COUNTIFS(Attendance_Log!$C$2:$C$1001,A61,Attendance_Log!$D$2:$D$1001,B61,Attendance_Log!$O$2:$O$1001,"อนุมัติ",Attendance_Log!$K$2:$K$1001,"ผ่าน")</f>
        <v/>
      </c>
      <c r="E61" s="8">
        <f>SUMIFS(Green_Star_Requests!$H$2:$H$501,Green_Star_Requests!$B$2:$B$501,A61,Green_Star_Requests!$C$2:$C$501,B61,Green_Star_Requests!$J$2:$J$501,"อนุมัติ")</f>
        <v/>
      </c>
      <c r="F61" s="8">
        <f>D61+E61</f>
        <v/>
      </c>
      <c r="G61" s="8">
        <f>MAX(0,12-D61)</f>
        <v/>
      </c>
    </row>
    <row r="62">
      <c r="D62" s="8">
        <f>COUNTIFS(Attendance_Log!$C$2:$C$1001,A62,Attendance_Log!$D$2:$D$1001,B62,Attendance_Log!$O$2:$O$1001,"อนุมัติ",Attendance_Log!$K$2:$K$1001,"ผ่าน")</f>
        <v/>
      </c>
      <c r="E62" s="8">
        <f>SUMIFS(Green_Star_Requests!$H$2:$H$501,Green_Star_Requests!$B$2:$B$501,A62,Green_Star_Requests!$C$2:$C$501,B62,Green_Star_Requests!$J$2:$J$501,"อนุมัติ")</f>
        <v/>
      </c>
      <c r="F62" s="8">
        <f>D62+E62</f>
        <v/>
      </c>
      <c r="G62" s="8">
        <f>MAX(0,12-D62)</f>
        <v/>
      </c>
    </row>
    <row r="63">
      <c r="D63" s="8">
        <f>COUNTIFS(Attendance_Log!$C$2:$C$1001,A63,Attendance_Log!$D$2:$D$1001,B63,Attendance_Log!$O$2:$O$1001,"อนุมัติ",Attendance_Log!$K$2:$K$1001,"ผ่าน")</f>
        <v/>
      </c>
      <c r="E63" s="8">
        <f>SUMIFS(Green_Star_Requests!$H$2:$H$501,Green_Star_Requests!$B$2:$B$501,A63,Green_Star_Requests!$C$2:$C$501,B63,Green_Star_Requests!$J$2:$J$501,"อนุมัติ")</f>
        <v/>
      </c>
      <c r="F63" s="8">
        <f>D63+E63</f>
        <v/>
      </c>
      <c r="G63" s="8">
        <f>MAX(0,12-D63)</f>
        <v/>
      </c>
    </row>
    <row r="64">
      <c r="D64" s="8">
        <f>COUNTIFS(Attendance_Log!$C$2:$C$1001,A64,Attendance_Log!$D$2:$D$1001,B64,Attendance_Log!$O$2:$O$1001,"อนุมัติ",Attendance_Log!$K$2:$K$1001,"ผ่าน")</f>
        <v/>
      </c>
      <c r="E64" s="8">
        <f>SUMIFS(Green_Star_Requests!$H$2:$H$501,Green_Star_Requests!$B$2:$B$501,A64,Green_Star_Requests!$C$2:$C$501,B64,Green_Star_Requests!$J$2:$J$501,"อนุมัติ")</f>
        <v/>
      </c>
      <c r="F64" s="8">
        <f>D64+E64</f>
        <v/>
      </c>
      <c r="G64" s="8">
        <f>MAX(0,12-D64)</f>
        <v/>
      </c>
    </row>
    <row r="65">
      <c r="D65" s="8">
        <f>COUNTIFS(Attendance_Log!$C$2:$C$1001,A65,Attendance_Log!$D$2:$D$1001,B65,Attendance_Log!$O$2:$O$1001,"อนุมัติ",Attendance_Log!$K$2:$K$1001,"ผ่าน")</f>
        <v/>
      </c>
      <c r="E65" s="8">
        <f>SUMIFS(Green_Star_Requests!$H$2:$H$501,Green_Star_Requests!$B$2:$B$501,A65,Green_Star_Requests!$C$2:$C$501,B65,Green_Star_Requests!$J$2:$J$501,"อนุมัติ")</f>
        <v/>
      </c>
      <c r="F65" s="8">
        <f>D65+E65</f>
        <v/>
      </c>
      <c r="G65" s="8">
        <f>MAX(0,12-D65)</f>
        <v/>
      </c>
    </row>
    <row r="66">
      <c r="D66" s="8">
        <f>COUNTIFS(Attendance_Log!$C$2:$C$1001,A66,Attendance_Log!$D$2:$D$1001,B66,Attendance_Log!$O$2:$O$1001,"อนุมัติ",Attendance_Log!$K$2:$K$1001,"ผ่าน")</f>
        <v/>
      </c>
      <c r="E66" s="8">
        <f>SUMIFS(Green_Star_Requests!$H$2:$H$501,Green_Star_Requests!$B$2:$B$501,A66,Green_Star_Requests!$C$2:$C$501,B66,Green_Star_Requests!$J$2:$J$501,"อนุมัติ")</f>
        <v/>
      </c>
      <c r="F66" s="8">
        <f>D66+E66</f>
        <v/>
      </c>
      <c r="G66" s="8">
        <f>MAX(0,12-D66)</f>
        <v/>
      </c>
    </row>
    <row r="67">
      <c r="D67" s="8">
        <f>COUNTIFS(Attendance_Log!$C$2:$C$1001,A67,Attendance_Log!$D$2:$D$1001,B67,Attendance_Log!$O$2:$O$1001,"อนุมัติ",Attendance_Log!$K$2:$K$1001,"ผ่าน")</f>
        <v/>
      </c>
      <c r="E67" s="8">
        <f>SUMIFS(Green_Star_Requests!$H$2:$H$501,Green_Star_Requests!$B$2:$B$501,A67,Green_Star_Requests!$C$2:$C$501,B67,Green_Star_Requests!$J$2:$J$501,"อนุมัติ")</f>
        <v/>
      </c>
      <c r="F67" s="8">
        <f>D67+E67</f>
        <v/>
      </c>
      <c r="G67" s="8">
        <f>MAX(0,12-D67)</f>
        <v/>
      </c>
    </row>
    <row r="68">
      <c r="D68" s="8">
        <f>COUNTIFS(Attendance_Log!$C$2:$C$1001,A68,Attendance_Log!$D$2:$D$1001,B68,Attendance_Log!$O$2:$O$1001,"อนุมัติ",Attendance_Log!$K$2:$K$1001,"ผ่าน")</f>
        <v/>
      </c>
      <c r="E68" s="8">
        <f>SUMIFS(Green_Star_Requests!$H$2:$H$501,Green_Star_Requests!$B$2:$B$501,A68,Green_Star_Requests!$C$2:$C$501,B68,Green_Star_Requests!$J$2:$J$501,"อนุมัติ")</f>
        <v/>
      </c>
      <c r="F68" s="8">
        <f>D68+E68</f>
        <v/>
      </c>
      <c r="G68" s="8">
        <f>MAX(0,12-D68)</f>
        <v/>
      </c>
    </row>
    <row r="69">
      <c r="D69" s="8">
        <f>COUNTIFS(Attendance_Log!$C$2:$C$1001,A69,Attendance_Log!$D$2:$D$1001,B69,Attendance_Log!$O$2:$O$1001,"อนุมัติ",Attendance_Log!$K$2:$K$1001,"ผ่าน")</f>
        <v/>
      </c>
      <c r="E69" s="8">
        <f>SUMIFS(Green_Star_Requests!$H$2:$H$501,Green_Star_Requests!$B$2:$B$501,A69,Green_Star_Requests!$C$2:$C$501,B69,Green_Star_Requests!$J$2:$J$501,"อนุมัติ")</f>
        <v/>
      </c>
      <c r="F69" s="8">
        <f>D69+E69</f>
        <v/>
      </c>
      <c r="G69" s="8">
        <f>MAX(0,12-D69)</f>
        <v/>
      </c>
    </row>
    <row r="70">
      <c r="D70" s="8">
        <f>COUNTIFS(Attendance_Log!$C$2:$C$1001,A70,Attendance_Log!$D$2:$D$1001,B70,Attendance_Log!$O$2:$O$1001,"อนุมัติ",Attendance_Log!$K$2:$K$1001,"ผ่าน")</f>
        <v/>
      </c>
      <c r="E70" s="8">
        <f>SUMIFS(Green_Star_Requests!$H$2:$H$501,Green_Star_Requests!$B$2:$B$501,A70,Green_Star_Requests!$C$2:$C$501,B70,Green_Star_Requests!$J$2:$J$501,"อนุมัติ")</f>
        <v/>
      </c>
      <c r="F70" s="8">
        <f>D70+E70</f>
        <v/>
      </c>
      <c r="G70" s="8">
        <f>MAX(0,12-D70)</f>
        <v/>
      </c>
    </row>
    <row r="71">
      <c r="D71" s="8">
        <f>COUNTIFS(Attendance_Log!$C$2:$C$1001,A71,Attendance_Log!$D$2:$D$1001,B71,Attendance_Log!$O$2:$O$1001,"อนุมัติ",Attendance_Log!$K$2:$K$1001,"ผ่าน")</f>
        <v/>
      </c>
      <c r="E71" s="8">
        <f>SUMIFS(Green_Star_Requests!$H$2:$H$501,Green_Star_Requests!$B$2:$B$501,A71,Green_Star_Requests!$C$2:$C$501,B71,Green_Star_Requests!$J$2:$J$501,"อนุมัติ")</f>
        <v/>
      </c>
      <c r="F71" s="8">
        <f>D71+E71</f>
        <v/>
      </c>
      <c r="G71" s="8">
        <f>MAX(0,12-D71)</f>
        <v/>
      </c>
    </row>
    <row r="72">
      <c r="D72" s="8">
        <f>COUNTIFS(Attendance_Log!$C$2:$C$1001,A72,Attendance_Log!$D$2:$D$1001,B72,Attendance_Log!$O$2:$O$1001,"อนุมัติ",Attendance_Log!$K$2:$K$1001,"ผ่าน")</f>
        <v/>
      </c>
      <c r="E72" s="8">
        <f>SUMIFS(Green_Star_Requests!$H$2:$H$501,Green_Star_Requests!$B$2:$B$501,A72,Green_Star_Requests!$C$2:$C$501,B72,Green_Star_Requests!$J$2:$J$501,"อนุมัติ")</f>
        <v/>
      </c>
      <c r="F72" s="8">
        <f>D72+E72</f>
        <v/>
      </c>
      <c r="G72" s="8">
        <f>MAX(0,12-D72)</f>
        <v/>
      </c>
    </row>
    <row r="73">
      <c r="D73" s="8">
        <f>COUNTIFS(Attendance_Log!$C$2:$C$1001,A73,Attendance_Log!$D$2:$D$1001,B73,Attendance_Log!$O$2:$O$1001,"อนุมัติ",Attendance_Log!$K$2:$K$1001,"ผ่าน")</f>
        <v/>
      </c>
      <c r="E73" s="8">
        <f>SUMIFS(Green_Star_Requests!$H$2:$H$501,Green_Star_Requests!$B$2:$B$501,A73,Green_Star_Requests!$C$2:$C$501,B73,Green_Star_Requests!$J$2:$J$501,"อนุมัติ")</f>
        <v/>
      </c>
      <c r="F73" s="8">
        <f>D73+E73</f>
        <v/>
      </c>
      <c r="G73" s="8">
        <f>MAX(0,12-D73)</f>
        <v/>
      </c>
    </row>
    <row r="74">
      <c r="D74" s="8">
        <f>COUNTIFS(Attendance_Log!$C$2:$C$1001,A74,Attendance_Log!$D$2:$D$1001,B74,Attendance_Log!$O$2:$O$1001,"อนุมัติ",Attendance_Log!$K$2:$K$1001,"ผ่าน")</f>
        <v/>
      </c>
      <c r="E74" s="8">
        <f>SUMIFS(Green_Star_Requests!$H$2:$H$501,Green_Star_Requests!$B$2:$B$501,A74,Green_Star_Requests!$C$2:$C$501,B74,Green_Star_Requests!$J$2:$J$501,"อนุมัติ")</f>
        <v/>
      </c>
      <c r="F74" s="8">
        <f>D74+E74</f>
        <v/>
      </c>
      <c r="G74" s="8">
        <f>MAX(0,12-D74)</f>
        <v/>
      </c>
    </row>
    <row r="75">
      <c r="D75" s="8">
        <f>COUNTIFS(Attendance_Log!$C$2:$C$1001,A75,Attendance_Log!$D$2:$D$1001,B75,Attendance_Log!$O$2:$O$1001,"อนุมัติ",Attendance_Log!$K$2:$K$1001,"ผ่าน")</f>
        <v/>
      </c>
      <c r="E75" s="8">
        <f>SUMIFS(Green_Star_Requests!$H$2:$H$501,Green_Star_Requests!$B$2:$B$501,A75,Green_Star_Requests!$C$2:$C$501,B75,Green_Star_Requests!$J$2:$J$501,"อนุมัติ")</f>
        <v/>
      </c>
      <c r="F75" s="8">
        <f>D75+E75</f>
        <v/>
      </c>
      <c r="G75" s="8">
        <f>MAX(0,12-D75)</f>
        <v/>
      </c>
    </row>
    <row r="76">
      <c r="D76" s="8">
        <f>COUNTIFS(Attendance_Log!$C$2:$C$1001,A76,Attendance_Log!$D$2:$D$1001,B76,Attendance_Log!$O$2:$O$1001,"อนุมัติ",Attendance_Log!$K$2:$K$1001,"ผ่าน")</f>
        <v/>
      </c>
      <c r="E76" s="8">
        <f>SUMIFS(Green_Star_Requests!$H$2:$H$501,Green_Star_Requests!$B$2:$B$501,A76,Green_Star_Requests!$C$2:$C$501,B76,Green_Star_Requests!$J$2:$J$501,"อนุมัติ")</f>
        <v/>
      </c>
      <c r="F76" s="8">
        <f>D76+E76</f>
        <v/>
      </c>
      <c r="G76" s="8">
        <f>MAX(0,12-D76)</f>
        <v/>
      </c>
    </row>
    <row r="77">
      <c r="D77" s="8">
        <f>COUNTIFS(Attendance_Log!$C$2:$C$1001,A77,Attendance_Log!$D$2:$D$1001,B77,Attendance_Log!$O$2:$O$1001,"อนุมัติ",Attendance_Log!$K$2:$K$1001,"ผ่าน")</f>
        <v/>
      </c>
      <c r="E77" s="8">
        <f>SUMIFS(Green_Star_Requests!$H$2:$H$501,Green_Star_Requests!$B$2:$B$501,A77,Green_Star_Requests!$C$2:$C$501,B77,Green_Star_Requests!$J$2:$J$501,"อนุมัติ")</f>
        <v/>
      </c>
      <c r="F77" s="8">
        <f>D77+E77</f>
        <v/>
      </c>
      <c r="G77" s="8">
        <f>MAX(0,12-D77)</f>
        <v/>
      </c>
    </row>
    <row r="78">
      <c r="D78" s="8">
        <f>COUNTIFS(Attendance_Log!$C$2:$C$1001,A78,Attendance_Log!$D$2:$D$1001,B78,Attendance_Log!$O$2:$O$1001,"อนุมัติ",Attendance_Log!$K$2:$K$1001,"ผ่าน")</f>
        <v/>
      </c>
      <c r="E78" s="8">
        <f>SUMIFS(Green_Star_Requests!$H$2:$H$501,Green_Star_Requests!$B$2:$B$501,A78,Green_Star_Requests!$C$2:$C$501,B78,Green_Star_Requests!$J$2:$J$501,"อนุมัติ")</f>
        <v/>
      </c>
      <c r="F78" s="8">
        <f>D78+E78</f>
        <v/>
      </c>
      <c r="G78" s="8">
        <f>MAX(0,12-D78)</f>
        <v/>
      </c>
    </row>
    <row r="79">
      <c r="D79" s="8">
        <f>COUNTIFS(Attendance_Log!$C$2:$C$1001,A79,Attendance_Log!$D$2:$D$1001,B79,Attendance_Log!$O$2:$O$1001,"อนุมัติ",Attendance_Log!$K$2:$K$1001,"ผ่าน")</f>
        <v/>
      </c>
      <c r="E79" s="8">
        <f>SUMIFS(Green_Star_Requests!$H$2:$H$501,Green_Star_Requests!$B$2:$B$501,A79,Green_Star_Requests!$C$2:$C$501,B79,Green_Star_Requests!$J$2:$J$501,"อนุมัติ")</f>
        <v/>
      </c>
      <c r="F79" s="8">
        <f>D79+E79</f>
        <v/>
      </c>
      <c r="G79" s="8">
        <f>MAX(0,12-D79)</f>
        <v/>
      </c>
    </row>
    <row r="80">
      <c r="D80" s="8">
        <f>COUNTIFS(Attendance_Log!$C$2:$C$1001,A80,Attendance_Log!$D$2:$D$1001,B80,Attendance_Log!$O$2:$O$1001,"อนุมัติ",Attendance_Log!$K$2:$K$1001,"ผ่าน")</f>
        <v/>
      </c>
      <c r="E80" s="8">
        <f>SUMIFS(Green_Star_Requests!$H$2:$H$501,Green_Star_Requests!$B$2:$B$501,A80,Green_Star_Requests!$C$2:$C$501,B80,Green_Star_Requests!$J$2:$J$501,"อนุมัติ")</f>
        <v/>
      </c>
      <c r="F80" s="8">
        <f>D80+E80</f>
        <v/>
      </c>
      <c r="G80" s="8">
        <f>MAX(0,12-D80)</f>
        <v/>
      </c>
    </row>
    <row r="81">
      <c r="D81" s="8">
        <f>COUNTIFS(Attendance_Log!$C$2:$C$1001,A81,Attendance_Log!$D$2:$D$1001,B81,Attendance_Log!$O$2:$O$1001,"อนุมัติ",Attendance_Log!$K$2:$K$1001,"ผ่าน")</f>
        <v/>
      </c>
      <c r="E81" s="8">
        <f>SUMIFS(Green_Star_Requests!$H$2:$H$501,Green_Star_Requests!$B$2:$B$501,A81,Green_Star_Requests!$C$2:$C$501,B81,Green_Star_Requests!$J$2:$J$501,"อนุมัติ")</f>
        <v/>
      </c>
      <c r="F81" s="8">
        <f>D81+E81</f>
        <v/>
      </c>
      <c r="G81" s="8">
        <f>MAX(0,12-D81)</f>
        <v/>
      </c>
    </row>
    <row r="82">
      <c r="D82" s="8">
        <f>COUNTIFS(Attendance_Log!$C$2:$C$1001,A82,Attendance_Log!$D$2:$D$1001,B82,Attendance_Log!$O$2:$O$1001,"อนุมัติ",Attendance_Log!$K$2:$K$1001,"ผ่าน")</f>
        <v/>
      </c>
      <c r="E82" s="8">
        <f>SUMIFS(Green_Star_Requests!$H$2:$H$501,Green_Star_Requests!$B$2:$B$501,A82,Green_Star_Requests!$C$2:$C$501,B82,Green_Star_Requests!$J$2:$J$501,"อนุมัติ")</f>
        <v/>
      </c>
      <c r="F82" s="8">
        <f>D82+E82</f>
        <v/>
      </c>
      <c r="G82" s="8">
        <f>MAX(0,12-D82)</f>
        <v/>
      </c>
    </row>
    <row r="83">
      <c r="D83" s="8">
        <f>COUNTIFS(Attendance_Log!$C$2:$C$1001,A83,Attendance_Log!$D$2:$D$1001,B83,Attendance_Log!$O$2:$O$1001,"อนุมัติ",Attendance_Log!$K$2:$K$1001,"ผ่าน")</f>
        <v/>
      </c>
      <c r="E83" s="8">
        <f>SUMIFS(Green_Star_Requests!$H$2:$H$501,Green_Star_Requests!$B$2:$B$501,A83,Green_Star_Requests!$C$2:$C$501,B83,Green_Star_Requests!$J$2:$J$501,"อนุมัติ")</f>
        <v/>
      </c>
      <c r="F83" s="8">
        <f>D83+E83</f>
        <v/>
      </c>
      <c r="G83" s="8">
        <f>MAX(0,12-D83)</f>
        <v/>
      </c>
    </row>
    <row r="84">
      <c r="D84" s="8">
        <f>COUNTIFS(Attendance_Log!$C$2:$C$1001,A84,Attendance_Log!$D$2:$D$1001,B84,Attendance_Log!$O$2:$O$1001,"อนุมัติ",Attendance_Log!$K$2:$K$1001,"ผ่าน")</f>
        <v/>
      </c>
      <c r="E84" s="8">
        <f>SUMIFS(Green_Star_Requests!$H$2:$H$501,Green_Star_Requests!$B$2:$B$501,A84,Green_Star_Requests!$C$2:$C$501,B84,Green_Star_Requests!$J$2:$J$501,"อนุมัติ")</f>
        <v/>
      </c>
      <c r="F84" s="8">
        <f>D84+E84</f>
        <v/>
      </c>
      <c r="G84" s="8">
        <f>MAX(0,12-D84)</f>
        <v/>
      </c>
    </row>
    <row r="85">
      <c r="D85" s="8">
        <f>COUNTIFS(Attendance_Log!$C$2:$C$1001,A85,Attendance_Log!$D$2:$D$1001,B85,Attendance_Log!$O$2:$O$1001,"อนุมัติ",Attendance_Log!$K$2:$K$1001,"ผ่าน")</f>
        <v/>
      </c>
      <c r="E85" s="8">
        <f>SUMIFS(Green_Star_Requests!$H$2:$H$501,Green_Star_Requests!$B$2:$B$501,A85,Green_Star_Requests!$C$2:$C$501,B85,Green_Star_Requests!$J$2:$J$501,"อนุมัติ")</f>
        <v/>
      </c>
      <c r="F85" s="8">
        <f>D85+E85</f>
        <v/>
      </c>
      <c r="G85" s="8">
        <f>MAX(0,12-D85)</f>
        <v/>
      </c>
    </row>
    <row r="86">
      <c r="D86" s="8">
        <f>COUNTIFS(Attendance_Log!$C$2:$C$1001,A86,Attendance_Log!$D$2:$D$1001,B86,Attendance_Log!$O$2:$O$1001,"อนุมัติ",Attendance_Log!$K$2:$K$1001,"ผ่าน")</f>
        <v/>
      </c>
      <c r="E86" s="8">
        <f>SUMIFS(Green_Star_Requests!$H$2:$H$501,Green_Star_Requests!$B$2:$B$501,A86,Green_Star_Requests!$C$2:$C$501,B86,Green_Star_Requests!$J$2:$J$501,"อนุมัติ")</f>
        <v/>
      </c>
      <c r="F86" s="8">
        <f>D86+E86</f>
        <v/>
      </c>
      <c r="G86" s="8">
        <f>MAX(0,12-D86)</f>
        <v/>
      </c>
    </row>
    <row r="87">
      <c r="D87" s="8">
        <f>COUNTIFS(Attendance_Log!$C$2:$C$1001,A87,Attendance_Log!$D$2:$D$1001,B87,Attendance_Log!$O$2:$O$1001,"อนุมัติ",Attendance_Log!$K$2:$K$1001,"ผ่าน")</f>
        <v/>
      </c>
      <c r="E87" s="8">
        <f>SUMIFS(Green_Star_Requests!$H$2:$H$501,Green_Star_Requests!$B$2:$B$501,A87,Green_Star_Requests!$C$2:$C$501,B87,Green_Star_Requests!$J$2:$J$501,"อนุมัติ")</f>
        <v/>
      </c>
      <c r="F87" s="8">
        <f>D87+E87</f>
        <v/>
      </c>
      <c r="G87" s="8">
        <f>MAX(0,12-D87)</f>
        <v/>
      </c>
    </row>
    <row r="88">
      <c r="D88" s="8">
        <f>COUNTIFS(Attendance_Log!$C$2:$C$1001,A88,Attendance_Log!$D$2:$D$1001,B88,Attendance_Log!$O$2:$O$1001,"อนุมัติ",Attendance_Log!$K$2:$K$1001,"ผ่าน")</f>
        <v/>
      </c>
      <c r="E88" s="8">
        <f>SUMIFS(Green_Star_Requests!$H$2:$H$501,Green_Star_Requests!$B$2:$B$501,A88,Green_Star_Requests!$C$2:$C$501,B88,Green_Star_Requests!$J$2:$J$501,"อนุมัติ")</f>
        <v/>
      </c>
      <c r="F88" s="8">
        <f>D88+E88</f>
        <v/>
      </c>
      <c r="G88" s="8">
        <f>MAX(0,12-D88)</f>
        <v/>
      </c>
    </row>
    <row r="89">
      <c r="D89" s="8">
        <f>COUNTIFS(Attendance_Log!$C$2:$C$1001,A89,Attendance_Log!$D$2:$D$1001,B89,Attendance_Log!$O$2:$O$1001,"อนุมัติ",Attendance_Log!$K$2:$K$1001,"ผ่าน")</f>
        <v/>
      </c>
      <c r="E89" s="8">
        <f>SUMIFS(Green_Star_Requests!$H$2:$H$501,Green_Star_Requests!$B$2:$B$501,A89,Green_Star_Requests!$C$2:$C$501,B89,Green_Star_Requests!$J$2:$J$501,"อนุมัติ")</f>
        <v/>
      </c>
      <c r="F89" s="8">
        <f>D89+E89</f>
        <v/>
      </c>
      <c r="G89" s="8">
        <f>MAX(0,12-D89)</f>
        <v/>
      </c>
    </row>
    <row r="90">
      <c r="D90" s="8">
        <f>COUNTIFS(Attendance_Log!$C$2:$C$1001,A90,Attendance_Log!$D$2:$D$1001,B90,Attendance_Log!$O$2:$O$1001,"อนุมัติ",Attendance_Log!$K$2:$K$1001,"ผ่าน")</f>
        <v/>
      </c>
      <c r="E90" s="8">
        <f>SUMIFS(Green_Star_Requests!$H$2:$H$501,Green_Star_Requests!$B$2:$B$501,A90,Green_Star_Requests!$C$2:$C$501,B90,Green_Star_Requests!$J$2:$J$501,"อนุมัติ")</f>
        <v/>
      </c>
      <c r="F90" s="8">
        <f>D90+E90</f>
        <v/>
      </c>
      <c r="G90" s="8">
        <f>MAX(0,12-D90)</f>
        <v/>
      </c>
    </row>
    <row r="91">
      <c r="D91" s="8">
        <f>COUNTIFS(Attendance_Log!$C$2:$C$1001,A91,Attendance_Log!$D$2:$D$1001,B91,Attendance_Log!$O$2:$O$1001,"อนุมัติ",Attendance_Log!$K$2:$K$1001,"ผ่าน")</f>
        <v/>
      </c>
      <c r="E91" s="8">
        <f>SUMIFS(Green_Star_Requests!$H$2:$H$501,Green_Star_Requests!$B$2:$B$501,A91,Green_Star_Requests!$C$2:$C$501,B91,Green_Star_Requests!$J$2:$J$501,"อนุมัติ")</f>
        <v/>
      </c>
      <c r="F91" s="8">
        <f>D91+E91</f>
        <v/>
      </c>
      <c r="G91" s="8">
        <f>MAX(0,12-D91)</f>
        <v/>
      </c>
    </row>
    <row r="92">
      <c r="D92" s="8">
        <f>COUNTIFS(Attendance_Log!$C$2:$C$1001,A92,Attendance_Log!$D$2:$D$1001,B92,Attendance_Log!$O$2:$O$1001,"อนุมัติ",Attendance_Log!$K$2:$K$1001,"ผ่าน")</f>
        <v/>
      </c>
      <c r="E92" s="8">
        <f>SUMIFS(Green_Star_Requests!$H$2:$H$501,Green_Star_Requests!$B$2:$B$501,A92,Green_Star_Requests!$C$2:$C$501,B92,Green_Star_Requests!$J$2:$J$501,"อนุมัติ")</f>
        <v/>
      </c>
      <c r="F92" s="8">
        <f>D92+E92</f>
        <v/>
      </c>
      <c r="G92" s="8">
        <f>MAX(0,12-D92)</f>
        <v/>
      </c>
    </row>
    <row r="93">
      <c r="D93" s="8">
        <f>COUNTIFS(Attendance_Log!$C$2:$C$1001,A93,Attendance_Log!$D$2:$D$1001,B93,Attendance_Log!$O$2:$O$1001,"อนุมัติ",Attendance_Log!$K$2:$K$1001,"ผ่าน")</f>
        <v/>
      </c>
      <c r="E93" s="8">
        <f>SUMIFS(Green_Star_Requests!$H$2:$H$501,Green_Star_Requests!$B$2:$B$501,A93,Green_Star_Requests!$C$2:$C$501,B93,Green_Star_Requests!$J$2:$J$501,"อนุมัติ")</f>
        <v/>
      </c>
      <c r="F93" s="8">
        <f>D93+E93</f>
        <v/>
      </c>
      <c r="G93" s="8">
        <f>MAX(0,12-D93)</f>
        <v/>
      </c>
    </row>
    <row r="94">
      <c r="D94" s="8">
        <f>COUNTIFS(Attendance_Log!$C$2:$C$1001,A94,Attendance_Log!$D$2:$D$1001,B94,Attendance_Log!$O$2:$O$1001,"อนุมัติ",Attendance_Log!$K$2:$K$1001,"ผ่าน")</f>
        <v/>
      </c>
      <c r="E94" s="8">
        <f>SUMIFS(Green_Star_Requests!$H$2:$H$501,Green_Star_Requests!$B$2:$B$501,A94,Green_Star_Requests!$C$2:$C$501,B94,Green_Star_Requests!$J$2:$J$501,"อนุมัติ")</f>
        <v/>
      </c>
      <c r="F94" s="8">
        <f>D94+E94</f>
        <v/>
      </c>
      <c r="G94" s="8">
        <f>MAX(0,12-D94)</f>
        <v/>
      </c>
    </row>
    <row r="95">
      <c r="D95" s="8">
        <f>COUNTIFS(Attendance_Log!$C$2:$C$1001,A95,Attendance_Log!$D$2:$D$1001,B95,Attendance_Log!$O$2:$O$1001,"อนุมัติ",Attendance_Log!$K$2:$K$1001,"ผ่าน")</f>
        <v/>
      </c>
      <c r="E95" s="8">
        <f>SUMIFS(Green_Star_Requests!$H$2:$H$501,Green_Star_Requests!$B$2:$B$501,A95,Green_Star_Requests!$C$2:$C$501,B95,Green_Star_Requests!$J$2:$J$501,"อนุมัติ")</f>
        <v/>
      </c>
      <c r="F95" s="8">
        <f>D95+E95</f>
        <v/>
      </c>
      <c r="G95" s="8">
        <f>MAX(0,12-D95)</f>
        <v/>
      </c>
    </row>
    <row r="96">
      <c r="D96" s="8">
        <f>COUNTIFS(Attendance_Log!$C$2:$C$1001,A96,Attendance_Log!$D$2:$D$1001,B96,Attendance_Log!$O$2:$O$1001,"อนุมัติ",Attendance_Log!$K$2:$K$1001,"ผ่าน")</f>
        <v/>
      </c>
      <c r="E96" s="8">
        <f>SUMIFS(Green_Star_Requests!$H$2:$H$501,Green_Star_Requests!$B$2:$B$501,A96,Green_Star_Requests!$C$2:$C$501,B96,Green_Star_Requests!$J$2:$J$501,"อนุมัติ")</f>
        <v/>
      </c>
      <c r="F96" s="8">
        <f>D96+E96</f>
        <v/>
      </c>
      <c r="G96" s="8">
        <f>MAX(0,12-D96)</f>
        <v/>
      </c>
    </row>
    <row r="97">
      <c r="D97" s="8">
        <f>COUNTIFS(Attendance_Log!$C$2:$C$1001,A97,Attendance_Log!$D$2:$D$1001,B97,Attendance_Log!$O$2:$O$1001,"อนุมัติ",Attendance_Log!$K$2:$K$1001,"ผ่าน")</f>
        <v/>
      </c>
      <c r="E97" s="8">
        <f>SUMIFS(Green_Star_Requests!$H$2:$H$501,Green_Star_Requests!$B$2:$B$501,A97,Green_Star_Requests!$C$2:$C$501,B97,Green_Star_Requests!$J$2:$J$501,"อนุมัติ")</f>
        <v/>
      </c>
      <c r="F97" s="8">
        <f>D97+E97</f>
        <v/>
      </c>
      <c r="G97" s="8">
        <f>MAX(0,12-D97)</f>
        <v/>
      </c>
    </row>
    <row r="98">
      <c r="D98" s="8">
        <f>COUNTIFS(Attendance_Log!$C$2:$C$1001,A98,Attendance_Log!$D$2:$D$1001,B98,Attendance_Log!$O$2:$O$1001,"อนุมัติ",Attendance_Log!$K$2:$K$1001,"ผ่าน")</f>
        <v/>
      </c>
      <c r="E98" s="8">
        <f>SUMIFS(Green_Star_Requests!$H$2:$H$501,Green_Star_Requests!$B$2:$B$501,A98,Green_Star_Requests!$C$2:$C$501,B98,Green_Star_Requests!$J$2:$J$501,"อนุมัติ")</f>
        <v/>
      </c>
      <c r="F98" s="8">
        <f>D98+E98</f>
        <v/>
      </c>
      <c r="G98" s="8">
        <f>MAX(0,12-D98)</f>
        <v/>
      </c>
    </row>
    <row r="99">
      <c r="D99" s="8">
        <f>COUNTIFS(Attendance_Log!$C$2:$C$1001,A99,Attendance_Log!$D$2:$D$1001,B99,Attendance_Log!$O$2:$O$1001,"อนุมัติ",Attendance_Log!$K$2:$K$1001,"ผ่าน")</f>
        <v/>
      </c>
      <c r="E99" s="8">
        <f>SUMIFS(Green_Star_Requests!$H$2:$H$501,Green_Star_Requests!$B$2:$B$501,A99,Green_Star_Requests!$C$2:$C$501,B99,Green_Star_Requests!$J$2:$J$501,"อนุมัติ")</f>
        <v/>
      </c>
      <c r="F99" s="8">
        <f>D99+E99</f>
        <v/>
      </c>
      <c r="G99" s="8">
        <f>MAX(0,12-D99)</f>
        <v/>
      </c>
    </row>
    <row r="100">
      <c r="D100" s="8">
        <f>COUNTIFS(Attendance_Log!$C$2:$C$1001,A100,Attendance_Log!$D$2:$D$1001,B100,Attendance_Log!$O$2:$O$1001,"อนุมัติ",Attendance_Log!$K$2:$K$1001,"ผ่าน")</f>
        <v/>
      </c>
      <c r="E100" s="8">
        <f>SUMIFS(Green_Star_Requests!$H$2:$H$501,Green_Star_Requests!$B$2:$B$501,A100,Green_Star_Requests!$C$2:$C$501,B100,Green_Star_Requests!$J$2:$J$501,"อนุมัติ")</f>
        <v/>
      </c>
      <c r="F100" s="8">
        <f>D100+E100</f>
        <v/>
      </c>
      <c r="G100" s="8">
        <f>MAX(0,12-D100)</f>
        <v/>
      </c>
    </row>
    <row r="101">
      <c r="D101" s="8">
        <f>COUNTIFS(Attendance_Log!$C$2:$C$1001,A101,Attendance_Log!$D$2:$D$1001,B101,Attendance_Log!$O$2:$O$1001,"อนุมัติ",Attendance_Log!$K$2:$K$1001,"ผ่าน")</f>
        <v/>
      </c>
      <c r="E101" s="8">
        <f>SUMIFS(Green_Star_Requests!$H$2:$H$501,Green_Star_Requests!$B$2:$B$501,A101,Green_Star_Requests!$C$2:$C$501,B101,Green_Star_Requests!$J$2:$J$501,"อนุมัติ")</f>
        <v/>
      </c>
      <c r="F101" s="8">
        <f>D101+E101</f>
        <v/>
      </c>
      <c r="G101" s="8">
        <f>MAX(0,12-D101)</f>
        <v/>
      </c>
    </row>
    <row r="102">
      <c r="D102" s="8">
        <f>COUNTIFS(Attendance_Log!$C$2:$C$1001,A102,Attendance_Log!$D$2:$D$1001,B102,Attendance_Log!$O$2:$O$1001,"อนุมัติ",Attendance_Log!$K$2:$K$1001,"ผ่าน")</f>
        <v/>
      </c>
      <c r="E102" s="8">
        <f>SUMIFS(Green_Star_Requests!$H$2:$H$501,Green_Star_Requests!$B$2:$B$501,A102,Green_Star_Requests!$C$2:$C$501,B102,Green_Star_Requests!$J$2:$J$501,"อนุมัติ")</f>
        <v/>
      </c>
      <c r="F102" s="8">
        <f>D102+E102</f>
        <v/>
      </c>
      <c r="G102" s="8">
        <f>MAX(0,12-D102)</f>
        <v/>
      </c>
    </row>
    <row r="103">
      <c r="D103" s="8">
        <f>COUNTIFS(Attendance_Log!$C$2:$C$1001,A103,Attendance_Log!$D$2:$D$1001,B103,Attendance_Log!$O$2:$O$1001,"อนุมัติ",Attendance_Log!$K$2:$K$1001,"ผ่าน")</f>
        <v/>
      </c>
      <c r="E103" s="8">
        <f>SUMIFS(Green_Star_Requests!$H$2:$H$501,Green_Star_Requests!$B$2:$B$501,A103,Green_Star_Requests!$C$2:$C$501,B103,Green_Star_Requests!$J$2:$J$501,"อนุมัติ")</f>
        <v/>
      </c>
      <c r="F103" s="8">
        <f>D103+E103</f>
        <v/>
      </c>
      <c r="G103" s="8">
        <f>MAX(0,12-D103)</f>
        <v/>
      </c>
    </row>
    <row r="104">
      <c r="D104" s="8">
        <f>COUNTIFS(Attendance_Log!$C$2:$C$1001,A104,Attendance_Log!$D$2:$D$1001,B104,Attendance_Log!$O$2:$O$1001,"อนุมัติ",Attendance_Log!$K$2:$K$1001,"ผ่าน")</f>
        <v/>
      </c>
      <c r="E104" s="8">
        <f>SUMIFS(Green_Star_Requests!$H$2:$H$501,Green_Star_Requests!$B$2:$B$501,A104,Green_Star_Requests!$C$2:$C$501,B104,Green_Star_Requests!$J$2:$J$501,"อนุมัติ")</f>
        <v/>
      </c>
      <c r="F104" s="8">
        <f>D104+E104</f>
        <v/>
      </c>
      <c r="G104" s="8">
        <f>MAX(0,12-D104)</f>
        <v/>
      </c>
    </row>
    <row r="105">
      <c r="D105" s="8">
        <f>COUNTIFS(Attendance_Log!$C$2:$C$1001,A105,Attendance_Log!$D$2:$D$1001,B105,Attendance_Log!$O$2:$O$1001,"อนุมัติ",Attendance_Log!$K$2:$K$1001,"ผ่าน")</f>
        <v/>
      </c>
      <c r="E105" s="8">
        <f>SUMIFS(Green_Star_Requests!$H$2:$H$501,Green_Star_Requests!$B$2:$B$501,A105,Green_Star_Requests!$C$2:$C$501,B105,Green_Star_Requests!$J$2:$J$501,"อนุมัติ")</f>
        <v/>
      </c>
      <c r="F105" s="8">
        <f>D105+E105</f>
        <v/>
      </c>
      <c r="G105" s="8">
        <f>MAX(0,12-D105)</f>
        <v/>
      </c>
    </row>
    <row r="106">
      <c r="D106" s="8">
        <f>COUNTIFS(Attendance_Log!$C$2:$C$1001,A106,Attendance_Log!$D$2:$D$1001,B106,Attendance_Log!$O$2:$O$1001,"อนุมัติ",Attendance_Log!$K$2:$K$1001,"ผ่าน")</f>
        <v/>
      </c>
      <c r="E106" s="8">
        <f>SUMIFS(Green_Star_Requests!$H$2:$H$501,Green_Star_Requests!$B$2:$B$501,A106,Green_Star_Requests!$C$2:$C$501,B106,Green_Star_Requests!$J$2:$J$501,"อนุมัติ")</f>
        <v/>
      </c>
      <c r="F106" s="8">
        <f>D106+E106</f>
        <v/>
      </c>
      <c r="G106" s="8">
        <f>MAX(0,12-D106)</f>
        <v/>
      </c>
    </row>
    <row r="107">
      <c r="D107" s="8">
        <f>COUNTIFS(Attendance_Log!$C$2:$C$1001,A107,Attendance_Log!$D$2:$D$1001,B107,Attendance_Log!$O$2:$O$1001,"อนุมัติ",Attendance_Log!$K$2:$K$1001,"ผ่าน")</f>
        <v/>
      </c>
      <c r="E107" s="8">
        <f>SUMIFS(Green_Star_Requests!$H$2:$H$501,Green_Star_Requests!$B$2:$B$501,A107,Green_Star_Requests!$C$2:$C$501,B107,Green_Star_Requests!$J$2:$J$501,"อนุมัติ")</f>
        <v/>
      </c>
      <c r="F107" s="8">
        <f>D107+E107</f>
        <v/>
      </c>
      <c r="G107" s="8">
        <f>MAX(0,12-D107)</f>
        <v/>
      </c>
    </row>
    <row r="108">
      <c r="D108" s="8">
        <f>COUNTIFS(Attendance_Log!$C$2:$C$1001,A108,Attendance_Log!$D$2:$D$1001,B108,Attendance_Log!$O$2:$O$1001,"อนุมัติ",Attendance_Log!$K$2:$K$1001,"ผ่าน")</f>
        <v/>
      </c>
      <c r="E108" s="8">
        <f>SUMIFS(Green_Star_Requests!$H$2:$H$501,Green_Star_Requests!$B$2:$B$501,A108,Green_Star_Requests!$C$2:$C$501,B108,Green_Star_Requests!$J$2:$J$501,"อนุมัติ")</f>
        <v/>
      </c>
      <c r="F108" s="8">
        <f>D108+E108</f>
        <v/>
      </c>
      <c r="G108" s="8">
        <f>MAX(0,12-D108)</f>
        <v/>
      </c>
    </row>
    <row r="109">
      <c r="D109" s="8">
        <f>COUNTIFS(Attendance_Log!$C$2:$C$1001,A109,Attendance_Log!$D$2:$D$1001,B109,Attendance_Log!$O$2:$O$1001,"อนุมัติ",Attendance_Log!$K$2:$K$1001,"ผ่าน")</f>
        <v/>
      </c>
      <c r="E109" s="8">
        <f>SUMIFS(Green_Star_Requests!$H$2:$H$501,Green_Star_Requests!$B$2:$B$501,A109,Green_Star_Requests!$C$2:$C$501,B109,Green_Star_Requests!$J$2:$J$501,"อนุมัติ")</f>
        <v/>
      </c>
      <c r="F109" s="8">
        <f>D109+E109</f>
        <v/>
      </c>
      <c r="G109" s="8">
        <f>MAX(0,12-D109)</f>
        <v/>
      </c>
    </row>
    <row r="110">
      <c r="D110" s="8">
        <f>COUNTIFS(Attendance_Log!$C$2:$C$1001,A110,Attendance_Log!$D$2:$D$1001,B110,Attendance_Log!$O$2:$O$1001,"อนุมัติ",Attendance_Log!$K$2:$K$1001,"ผ่าน")</f>
        <v/>
      </c>
      <c r="E110" s="8">
        <f>SUMIFS(Green_Star_Requests!$H$2:$H$501,Green_Star_Requests!$B$2:$B$501,A110,Green_Star_Requests!$C$2:$C$501,B110,Green_Star_Requests!$J$2:$J$501,"อนุมัติ")</f>
        <v/>
      </c>
      <c r="F110" s="8">
        <f>D110+E110</f>
        <v/>
      </c>
      <c r="G110" s="8">
        <f>MAX(0,12-D110)</f>
        <v/>
      </c>
    </row>
    <row r="111">
      <c r="D111" s="8">
        <f>COUNTIFS(Attendance_Log!$C$2:$C$1001,A111,Attendance_Log!$D$2:$D$1001,B111,Attendance_Log!$O$2:$O$1001,"อนุมัติ",Attendance_Log!$K$2:$K$1001,"ผ่าน")</f>
        <v/>
      </c>
      <c r="E111" s="8">
        <f>SUMIFS(Green_Star_Requests!$H$2:$H$501,Green_Star_Requests!$B$2:$B$501,A111,Green_Star_Requests!$C$2:$C$501,B111,Green_Star_Requests!$J$2:$J$501,"อนุมัติ")</f>
        <v/>
      </c>
      <c r="F111" s="8">
        <f>D111+E111</f>
        <v/>
      </c>
      <c r="G111" s="8">
        <f>MAX(0,12-D111)</f>
        <v/>
      </c>
    </row>
    <row r="112">
      <c r="D112" s="8">
        <f>COUNTIFS(Attendance_Log!$C$2:$C$1001,A112,Attendance_Log!$D$2:$D$1001,B112,Attendance_Log!$O$2:$O$1001,"อนุมัติ",Attendance_Log!$K$2:$K$1001,"ผ่าน")</f>
        <v/>
      </c>
      <c r="E112" s="8">
        <f>SUMIFS(Green_Star_Requests!$H$2:$H$501,Green_Star_Requests!$B$2:$B$501,A112,Green_Star_Requests!$C$2:$C$501,B112,Green_Star_Requests!$J$2:$J$501,"อนุมัติ")</f>
        <v/>
      </c>
      <c r="F112" s="8">
        <f>D112+E112</f>
        <v/>
      </c>
      <c r="G112" s="8">
        <f>MAX(0,12-D112)</f>
        <v/>
      </c>
    </row>
    <row r="113">
      <c r="D113" s="8">
        <f>COUNTIFS(Attendance_Log!$C$2:$C$1001,A113,Attendance_Log!$D$2:$D$1001,B113,Attendance_Log!$O$2:$O$1001,"อนุมัติ",Attendance_Log!$K$2:$K$1001,"ผ่าน")</f>
        <v/>
      </c>
      <c r="E113" s="8">
        <f>SUMIFS(Green_Star_Requests!$H$2:$H$501,Green_Star_Requests!$B$2:$B$501,A113,Green_Star_Requests!$C$2:$C$501,B113,Green_Star_Requests!$J$2:$J$501,"อนุมัติ")</f>
        <v/>
      </c>
      <c r="F113" s="8">
        <f>D113+E113</f>
        <v/>
      </c>
      <c r="G113" s="8">
        <f>MAX(0,12-D113)</f>
        <v/>
      </c>
    </row>
    <row r="114">
      <c r="D114" s="8">
        <f>COUNTIFS(Attendance_Log!$C$2:$C$1001,A114,Attendance_Log!$D$2:$D$1001,B114,Attendance_Log!$O$2:$O$1001,"อนุมัติ",Attendance_Log!$K$2:$K$1001,"ผ่าน")</f>
        <v/>
      </c>
      <c r="E114" s="8">
        <f>SUMIFS(Green_Star_Requests!$H$2:$H$501,Green_Star_Requests!$B$2:$B$501,A114,Green_Star_Requests!$C$2:$C$501,B114,Green_Star_Requests!$J$2:$J$501,"อนุมัติ")</f>
        <v/>
      </c>
      <c r="F114" s="8">
        <f>D114+E114</f>
        <v/>
      </c>
      <c r="G114" s="8">
        <f>MAX(0,12-D114)</f>
        <v/>
      </c>
    </row>
    <row r="115">
      <c r="D115" s="8">
        <f>COUNTIFS(Attendance_Log!$C$2:$C$1001,A115,Attendance_Log!$D$2:$D$1001,B115,Attendance_Log!$O$2:$O$1001,"อนุมัติ",Attendance_Log!$K$2:$K$1001,"ผ่าน")</f>
        <v/>
      </c>
      <c r="E115" s="8">
        <f>SUMIFS(Green_Star_Requests!$H$2:$H$501,Green_Star_Requests!$B$2:$B$501,A115,Green_Star_Requests!$C$2:$C$501,B115,Green_Star_Requests!$J$2:$J$501,"อนุมัติ")</f>
        <v/>
      </c>
      <c r="F115" s="8">
        <f>D115+E115</f>
        <v/>
      </c>
      <c r="G115" s="8">
        <f>MAX(0,12-D115)</f>
        <v/>
      </c>
    </row>
    <row r="116">
      <c r="D116" s="8">
        <f>COUNTIFS(Attendance_Log!$C$2:$C$1001,A116,Attendance_Log!$D$2:$D$1001,B116,Attendance_Log!$O$2:$O$1001,"อนุมัติ",Attendance_Log!$K$2:$K$1001,"ผ่าน")</f>
        <v/>
      </c>
      <c r="E116" s="8">
        <f>SUMIFS(Green_Star_Requests!$H$2:$H$501,Green_Star_Requests!$B$2:$B$501,A116,Green_Star_Requests!$C$2:$C$501,B116,Green_Star_Requests!$J$2:$J$501,"อนุมัติ")</f>
        <v/>
      </c>
      <c r="F116" s="8">
        <f>D116+E116</f>
        <v/>
      </c>
      <c r="G116" s="8">
        <f>MAX(0,12-D116)</f>
        <v/>
      </c>
    </row>
    <row r="117">
      <c r="D117" s="8">
        <f>COUNTIFS(Attendance_Log!$C$2:$C$1001,A117,Attendance_Log!$D$2:$D$1001,B117,Attendance_Log!$O$2:$O$1001,"อนุมัติ",Attendance_Log!$K$2:$K$1001,"ผ่าน")</f>
        <v/>
      </c>
      <c r="E117" s="8">
        <f>SUMIFS(Green_Star_Requests!$H$2:$H$501,Green_Star_Requests!$B$2:$B$501,A117,Green_Star_Requests!$C$2:$C$501,B117,Green_Star_Requests!$J$2:$J$501,"อนุมัติ")</f>
        <v/>
      </c>
      <c r="F117" s="8">
        <f>D117+E117</f>
        <v/>
      </c>
      <c r="G117" s="8">
        <f>MAX(0,12-D117)</f>
        <v/>
      </c>
    </row>
    <row r="118">
      <c r="D118" s="8">
        <f>COUNTIFS(Attendance_Log!$C$2:$C$1001,A118,Attendance_Log!$D$2:$D$1001,B118,Attendance_Log!$O$2:$O$1001,"อนุมัติ",Attendance_Log!$K$2:$K$1001,"ผ่าน")</f>
        <v/>
      </c>
      <c r="E118" s="8">
        <f>SUMIFS(Green_Star_Requests!$H$2:$H$501,Green_Star_Requests!$B$2:$B$501,A118,Green_Star_Requests!$C$2:$C$501,B118,Green_Star_Requests!$J$2:$J$501,"อนุมัติ")</f>
        <v/>
      </c>
      <c r="F118" s="8">
        <f>D118+E118</f>
        <v/>
      </c>
      <c r="G118" s="8">
        <f>MAX(0,12-D118)</f>
        <v/>
      </c>
    </row>
    <row r="119">
      <c r="D119" s="8">
        <f>COUNTIFS(Attendance_Log!$C$2:$C$1001,A119,Attendance_Log!$D$2:$D$1001,B119,Attendance_Log!$O$2:$O$1001,"อนุมัติ",Attendance_Log!$K$2:$K$1001,"ผ่าน")</f>
        <v/>
      </c>
      <c r="E119" s="8">
        <f>SUMIFS(Green_Star_Requests!$H$2:$H$501,Green_Star_Requests!$B$2:$B$501,A119,Green_Star_Requests!$C$2:$C$501,B119,Green_Star_Requests!$J$2:$J$501,"อนุมัติ")</f>
        <v/>
      </c>
      <c r="F119" s="8">
        <f>D119+E119</f>
        <v/>
      </c>
      <c r="G119" s="8">
        <f>MAX(0,12-D119)</f>
        <v/>
      </c>
    </row>
    <row r="120">
      <c r="D120" s="8">
        <f>COUNTIFS(Attendance_Log!$C$2:$C$1001,A120,Attendance_Log!$D$2:$D$1001,B120,Attendance_Log!$O$2:$O$1001,"อนุมัติ",Attendance_Log!$K$2:$K$1001,"ผ่าน")</f>
        <v/>
      </c>
      <c r="E120" s="8">
        <f>SUMIFS(Green_Star_Requests!$H$2:$H$501,Green_Star_Requests!$B$2:$B$501,A120,Green_Star_Requests!$C$2:$C$501,B120,Green_Star_Requests!$J$2:$J$501,"อนุมัติ")</f>
        <v/>
      </c>
      <c r="F120" s="8">
        <f>D120+E120</f>
        <v/>
      </c>
      <c r="G120" s="8">
        <f>MAX(0,12-D120)</f>
        <v/>
      </c>
    </row>
    <row r="121">
      <c r="D121" s="8">
        <f>COUNTIFS(Attendance_Log!$C$2:$C$1001,A121,Attendance_Log!$D$2:$D$1001,B121,Attendance_Log!$O$2:$O$1001,"อนุมัติ",Attendance_Log!$K$2:$K$1001,"ผ่าน")</f>
        <v/>
      </c>
      <c r="E121" s="8">
        <f>SUMIFS(Green_Star_Requests!$H$2:$H$501,Green_Star_Requests!$B$2:$B$501,A121,Green_Star_Requests!$C$2:$C$501,B121,Green_Star_Requests!$J$2:$J$501,"อนุมัติ")</f>
        <v/>
      </c>
      <c r="F121" s="8">
        <f>D121+E121</f>
        <v/>
      </c>
      <c r="G121" s="8">
        <f>MAX(0,12-D121)</f>
        <v/>
      </c>
    </row>
    <row r="122">
      <c r="D122" s="8">
        <f>COUNTIFS(Attendance_Log!$C$2:$C$1001,A122,Attendance_Log!$D$2:$D$1001,B122,Attendance_Log!$O$2:$O$1001,"อนุมัติ",Attendance_Log!$K$2:$K$1001,"ผ่าน")</f>
        <v/>
      </c>
      <c r="E122" s="8">
        <f>SUMIFS(Green_Star_Requests!$H$2:$H$501,Green_Star_Requests!$B$2:$B$501,A122,Green_Star_Requests!$C$2:$C$501,B122,Green_Star_Requests!$J$2:$J$501,"อนุมัติ")</f>
        <v/>
      </c>
      <c r="F122" s="8">
        <f>D122+E122</f>
        <v/>
      </c>
      <c r="G122" s="8">
        <f>MAX(0,12-D122)</f>
        <v/>
      </c>
    </row>
    <row r="123">
      <c r="D123" s="8">
        <f>COUNTIFS(Attendance_Log!$C$2:$C$1001,A123,Attendance_Log!$D$2:$D$1001,B123,Attendance_Log!$O$2:$O$1001,"อนุมัติ",Attendance_Log!$K$2:$K$1001,"ผ่าน")</f>
        <v/>
      </c>
      <c r="E123" s="8">
        <f>SUMIFS(Green_Star_Requests!$H$2:$H$501,Green_Star_Requests!$B$2:$B$501,A123,Green_Star_Requests!$C$2:$C$501,B123,Green_Star_Requests!$J$2:$J$501,"อนุมัติ")</f>
        <v/>
      </c>
      <c r="F123" s="8">
        <f>D123+E123</f>
        <v/>
      </c>
      <c r="G123" s="8">
        <f>MAX(0,12-D123)</f>
        <v/>
      </c>
    </row>
    <row r="124">
      <c r="D124" s="8">
        <f>COUNTIFS(Attendance_Log!$C$2:$C$1001,A124,Attendance_Log!$D$2:$D$1001,B124,Attendance_Log!$O$2:$O$1001,"อนุมัติ",Attendance_Log!$K$2:$K$1001,"ผ่าน")</f>
        <v/>
      </c>
      <c r="E124" s="8">
        <f>SUMIFS(Green_Star_Requests!$H$2:$H$501,Green_Star_Requests!$B$2:$B$501,A124,Green_Star_Requests!$C$2:$C$501,B124,Green_Star_Requests!$J$2:$J$501,"อนุมัติ")</f>
        <v/>
      </c>
      <c r="F124" s="8">
        <f>D124+E124</f>
        <v/>
      </c>
      <c r="G124" s="8">
        <f>MAX(0,12-D124)</f>
        <v/>
      </c>
    </row>
    <row r="125">
      <c r="D125" s="8">
        <f>COUNTIFS(Attendance_Log!$C$2:$C$1001,A125,Attendance_Log!$D$2:$D$1001,B125,Attendance_Log!$O$2:$O$1001,"อนุมัติ",Attendance_Log!$K$2:$K$1001,"ผ่าน")</f>
        <v/>
      </c>
      <c r="E125" s="8">
        <f>SUMIFS(Green_Star_Requests!$H$2:$H$501,Green_Star_Requests!$B$2:$B$501,A125,Green_Star_Requests!$C$2:$C$501,B125,Green_Star_Requests!$J$2:$J$501,"อนุมัติ")</f>
        <v/>
      </c>
      <c r="F125" s="8">
        <f>D125+E125</f>
        <v/>
      </c>
      <c r="G125" s="8">
        <f>MAX(0,12-D125)</f>
        <v/>
      </c>
    </row>
    <row r="126">
      <c r="D126" s="8">
        <f>COUNTIFS(Attendance_Log!$C$2:$C$1001,A126,Attendance_Log!$D$2:$D$1001,B126,Attendance_Log!$O$2:$O$1001,"อนุมัติ",Attendance_Log!$K$2:$K$1001,"ผ่าน")</f>
        <v/>
      </c>
      <c r="E126" s="8">
        <f>SUMIFS(Green_Star_Requests!$H$2:$H$501,Green_Star_Requests!$B$2:$B$501,A126,Green_Star_Requests!$C$2:$C$501,B126,Green_Star_Requests!$J$2:$J$501,"อนุมัติ")</f>
        <v/>
      </c>
      <c r="F126" s="8">
        <f>D126+E126</f>
        <v/>
      </c>
      <c r="G126" s="8">
        <f>MAX(0,12-D126)</f>
        <v/>
      </c>
    </row>
    <row r="127">
      <c r="D127" s="8">
        <f>COUNTIFS(Attendance_Log!$C$2:$C$1001,A127,Attendance_Log!$D$2:$D$1001,B127,Attendance_Log!$O$2:$O$1001,"อนุมัติ",Attendance_Log!$K$2:$K$1001,"ผ่าน")</f>
        <v/>
      </c>
      <c r="E127" s="8">
        <f>SUMIFS(Green_Star_Requests!$H$2:$H$501,Green_Star_Requests!$B$2:$B$501,A127,Green_Star_Requests!$C$2:$C$501,B127,Green_Star_Requests!$J$2:$J$501,"อนุมัติ")</f>
        <v/>
      </c>
      <c r="F127" s="8">
        <f>D127+E127</f>
        <v/>
      </c>
      <c r="G127" s="8">
        <f>MAX(0,12-D127)</f>
        <v/>
      </c>
    </row>
    <row r="128">
      <c r="D128" s="8">
        <f>COUNTIFS(Attendance_Log!$C$2:$C$1001,A128,Attendance_Log!$D$2:$D$1001,B128,Attendance_Log!$O$2:$O$1001,"อนุมัติ",Attendance_Log!$K$2:$K$1001,"ผ่าน")</f>
        <v/>
      </c>
      <c r="E128" s="8">
        <f>SUMIFS(Green_Star_Requests!$H$2:$H$501,Green_Star_Requests!$B$2:$B$501,A128,Green_Star_Requests!$C$2:$C$501,B128,Green_Star_Requests!$J$2:$J$501,"อนุมัติ")</f>
        <v/>
      </c>
      <c r="F128" s="8">
        <f>D128+E128</f>
        <v/>
      </c>
      <c r="G128" s="8">
        <f>MAX(0,12-D128)</f>
        <v/>
      </c>
    </row>
    <row r="129">
      <c r="D129" s="8">
        <f>COUNTIFS(Attendance_Log!$C$2:$C$1001,A129,Attendance_Log!$D$2:$D$1001,B129,Attendance_Log!$O$2:$O$1001,"อนุมัติ",Attendance_Log!$K$2:$K$1001,"ผ่าน")</f>
        <v/>
      </c>
      <c r="E129" s="8">
        <f>SUMIFS(Green_Star_Requests!$H$2:$H$501,Green_Star_Requests!$B$2:$B$501,A129,Green_Star_Requests!$C$2:$C$501,B129,Green_Star_Requests!$J$2:$J$501,"อนุมัติ")</f>
        <v/>
      </c>
      <c r="F129" s="8">
        <f>D129+E129</f>
        <v/>
      </c>
      <c r="G129" s="8">
        <f>MAX(0,12-D129)</f>
        <v/>
      </c>
    </row>
    <row r="130">
      <c r="D130" s="8">
        <f>COUNTIFS(Attendance_Log!$C$2:$C$1001,A130,Attendance_Log!$D$2:$D$1001,B130,Attendance_Log!$O$2:$O$1001,"อนุมัติ",Attendance_Log!$K$2:$K$1001,"ผ่าน")</f>
        <v/>
      </c>
      <c r="E130" s="8">
        <f>SUMIFS(Green_Star_Requests!$H$2:$H$501,Green_Star_Requests!$B$2:$B$501,A130,Green_Star_Requests!$C$2:$C$501,B130,Green_Star_Requests!$J$2:$J$501,"อนุมัติ")</f>
        <v/>
      </c>
      <c r="F130" s="8">
        <f>D130+E130</f>
        <v/>
      </c>
      <c r="G130" s="8">
        <f>MAX(0,12-D130)</f>
        <v/>
      </c>
    </row>
    <row r="131">
      <c r="D131" s="8">
        <f>COUNTIFS(Attendance_Log!$C$2:$C$1001,A131,Attendance_Log!$D$2:$D$1001,B131,Attendance_Log!$O$2:$O$1001,"อนุมัติ",Attendance_Log!$K$2:$K$1001,"ผ่าน")</f>
        <v/>
      </c>
      <c r="E131" s="8">
        <f>SUMIFS(Green_Star_Requests!$H$2:$H$501,Green_Star_Requests!$B$2:$B$501,A131,Green_Star_Requests!$C$2:$C$501,B131,Green_Star_Requests!$J$2:$J$501,"อนุมัติ")</f>
        <v/>
      </c>
      <c r="F131" s="8">
        <f>D131+E131</f>
        <v/>
      </c>
      <c r="G131" s="8">
        <f>MAX(0,12-D131)</f>
        <v/>
      </c>
    </row>
    <row r="132">
      <c r="D132" s="8">
        <f>COUNTIFS(Attendance_Log!$C$2:$C$1001,A132,Attendance_Log!$D$2:$D$1001,B132,Attendance_Log!$O$2:$O$1001,"อนุมัติ",Attendance_Log!$K$2:$K$1001,"ผ่าน")</f>
        <v/>
      </c>
      <c r="E132" s="8">
        <f>SUMIFS(Green_Star_Requests!$H$2:$H$501,Green_Star_Requests!$B$2:$B$501,A132,Green_Star_Requests!$C$2:$C$501,B132,Green_Star_Requests!$J$2:$J$501,"อนุมัติ")</f>
        <v/>
      </c>
      <c r="F132" s="8">
        <f>D132+E132</f>
        <v/>
      </c>
      <c r="G132" s="8">
        <f>MAX(0,12-D132)</f>
        <v/>
      </c>
    </row>
    <row r="133">
      <c r="D133" s="8">
        <f>COUNTIFS(Attendance_Log!$C$2:$C$1001,A133,Attendance_Log!$D$2:$D$1001,B133,Attendance_Log!$O$2:$O$1001,"อนุมัติ",Attendance_Log!$K$2:$K$1001,"ผ่าน")</f>
        <v/>
      </c>
      <c r="E133" s="8">
        <f>SUMIFS(Green_Star_Requests!$H$2:$H$501,Green_Star_Requests!$B$2:$B$501,A133,Green_Star_Requests!$C$2:$C$501,B133,Green_Star_Requests!$J$2:$J$501,"อนุมัติ")</f>
        <v/>
      </c>
      <c r="F133" s="8">
        <f>D133+E133</f>
        <v/>
      </c>
      <c r="G133" s="8">
        <f>MAX(0,12-D133)</f>
        <v/>
      </c>
    </row>
    <row r="134">
      <c r="D134" s="8">
        <f>COUNTIFS(Attendance_Log!$C$2:$C$1001,A134,Attendance_Log!$D$2:$D$1001,B134,Attendance_Log!$O$2:$O$1001,"อนุมัติ",Attendance_Log!$K$2:$K$1001,"ผ่าน")</f>
        <v/>
      </c>
      <c r="E134" s="8">
        <f>SUMIFS(Green_Star_Requests!$H$2:$H$501,Green_Star_Requests!$B$2:$B$501,A134,Green_Star_Requests!$C$2:$C$501,B134,Green_Star_Requests!$J$2:$J$501,"อนุมัติ")</f>
        <v/>
      </c>
      <c r="F134" s="8">
        <f>D134+E134</f>
        <v/>
      </c>
      <c r="G134" s="8">
        <f>MAX(0,12-D134)</f>
        <v/>
      </c>
    </row>
    <row r="135">
      <c r="D135" s="8">
        <f>COUNTIFS(Attendance_Log!$C$2:$C$1001,A135,Attendance_Log!$D$2:$D$1001,B135,Attendance_Log!$O$2:$O$1001,"อนุมัติ",Attendance_Log!$K$2:$K$1001,"ผ่าน")</f>
        <v/>
      </c>
      <c r="E135" s="8">
        <f>SUMIFS(Green_Star_Requests!$H$2:$H$501,Green_Star_Requests!$B$2:$B$501,A135,Green_Star_Requests!$C$2:$C$501,B135,Green_Star_Requests!$J$2:$J$501,"อนุมัติ")</f>
        <v/>
      </c>
      <c r="F135" s="8">
        <f>D135+E135</f>
        <v/>
      </c>
      <c r="G135" s="8">
        <f>MAX(0,12-D135)</f>
        <v/>
      </c>
    </row>
    <row r="136">
      <c r="D136" s="8">
        <f>COUNTIFS(Attendance_Log!$C$2:$C$1001,A136,Attendance_Log!$D$2:$D$1001,B136,Attendance_Log!$O$2:$O$1001,"อนุมัติ",Attendance_Log!$K$2:$K$1001,"ผ่าน")</f>
        <v/>
      </c>
      <c r="E136" s="8">
        <f>SUMIFS(Green_Star_Requests!$H$2:$H$501,Green_Star_Requests!$B$2:$B$501,A136,Green_Star_Requests!$C$2:$C$501,B136,Green_Star_Requests!$J$2:$J$501,"อนุมัติ")</f>
        <v/>
      </c>
      <c r="F136" s="8">
        <f>D136+E136</f>
        <v/>
      </c>
      <c r="G136" s="8">
        <f>MAX(0,12-D136)</f>
        <v/>
      </c>
    </row>
    <row r="137">
      <c r="D137" s="8">
        <f>COUNTIFS(Attendance_Log!$C$2:$C$1001,A137,Attendance_Log!$D$2:$D$1001,B137,Attendance_Log!$O$2:$O$1001,"อนุมัติ",Attendance_Log!$K$2:$K$1001,"ผ่าน")</f>
        <v/>
      </c>
      <c r="E137" s="8">
        <f>SUMIFS(Green_Star_Requests!$H$2:$H$501,Green_Star_Requests!$B$2:$B$501,A137,Green_Star_Requests!$C$2:$C$501,B137,Green_Star_Requests!$J$2:$J$501,"อนุมัติ")</f>
        <v/>
      </c>
      <c r="F137" s="8">
        <f>D137+E137</f>
        <v/>
      </c>
      <c r="G137" s="8">
        <f>MAX(0,12-D137)</f>
        <v/>
      </c>
    </row>
    <row r="138">
      <c r="D138" s="8">
        <f>COUNTIFS(Attendance_Log!$C$2:$C$1001,A138,Attendance_Log!$D$2:$D$1001,B138,Attendance_Log!$O$2:$O$1001,"อนุมัติ",Attendance_Log!$K$2:$K$1001,"ผ่าน")</f>
        <v/>
      </c>
      <c r="E138" s="8">
        <f>SUMIFS(Green_Star_Requests!$H$2:$H$501,Green_Star_Requests!$B$2:$B$501,A138,Green_Star_Requests!$C$2:$C$501,B138,Green_Star_Requests!$J$2:$J$501,"อนุมัติ")</f>
        <v/>
      </c>
      <c r="F138" s="8">
        <f>D138+E138</f>
        <v/>
      </c>
      <c r="G138" s="8">
        <f>MAX(0,12-D138)</f>
        <v/>
      </c>
    </row>
    <row r="139">
      <c r="D139" s="8">
        <f>COUNTIFS(Attendance_Log!$C$2:$C$1001,A139,Attendance_Log!$D$2:$D$1001,B139,Attendance_Log!$O$2:$O$1001,"อนุมัติ",Attendance_Log!$K$2:$K$1001,"ผ่าน")</f>
        <v/>
      </c>
      <c r="E139" s="8">
        <f>SUMIFS(Green_Star_Requests!$H$2:$H$501,Green_Star_Requests!$B$2:$B$501,A139,Green_Star_Requests!$C$2:$C$501,B139,Green_Star_Requests!$J$2:$J$501,"อนุมัติ")</f>
        <v/>
      </c>
      <c r="F139" s="8">
        <f>D139+E139</f>
        <v/>
      </c>
      <c r="G139" s="8">
        <f>MAX(0,12-D139)</f>
        <v/>
      </c>
    </row>
    <row r="140">
      <c r="D140" s="8">
        <f>COUNTIFS(Attendance_Log!$C$2:$C$1001,A140,Attendance_Log!$D$2:$D$1001,B140,Attendance_Log!$O$2:$O$1001,"อนุมัติ",Attendance_Log!$K$2:$K$1001,"ผ่าน")</f>
        <v/>
      </c>
      <c r="E140" s="8">
        <f>SUMIFS(Green_Star_Requests!$H$2:$H$501,Green_Star_Requests!$B$2:$B$501,A140,Green_Star_Requests!$C$2:$C$501,B140,Green_Star_Requests!$J$2:$J$501,"อนุมัติ")</f>
        <v/>
      </c>
      <c r="F140" s="8">
        <f>D140+E140</f>
        <v/>
      </c>
      <c r="G140" s="8">
        <f>MAX(0,12-D140)</f>
        <v/>
      </c>
    </row>
    <row r="141">
      <c r="D141" s="8">
        <f>COUNTIFS(Attendance_Log!$C$2:$C$1001,A141,Attendance_Log!$D$2:$D$1001,B141,Attendance_Log!$O$2:$O$1001,"อนุมัติ",Attendance_Log!$K$2:$K$1001,"ผ่าน")</f>
        <v/>
      </c>
      <c r="E141" s="8">
        <f>SUMIFS(Green_Star_Requests!$H$2:$H$501,Green_Star_Requests!$B$2:$B$501,A141,Green_Star_Requests!$C$2:$C$501,B141,Green_Star_Requests!$J$2:$J$501,"อนุมัติ")</f>
        <v/>
      </c>
      <c r="F141" s="8">
        <f>D141+E141</f>
        <v/>
      </c>
      <c r="G141" s="8">
        <f>MAX(0,12-D141)</f>
        <v/>
      </c>
    </row>
    <row r="142">
      <c r="D142" s="8">
        <f>COUNTIFS(Attendance_Log!$C$2:$C$1001,A142,Attendance_Log!$D$2:$D$1001,B142,Attendance_Log!$O$2:$O$1001,"อนุมัติ",Attendance_Log!$K$2:$K$1001,"ผ่าน")</f>
        <v/>
      </c>
      <c r="E142" s="8">
        <f>SUMIFS(Green_Star_Requests!$H$2:$H$501,Green_Star_Requests!$B$2:$B$501,A142,Green_Star_Requests!$C$2:$C$501,B142,Green_Star_Requests!$J$2:$J$501,"อนุมัติ")</f>
        <v/>
      </c>
      <c r="F142" s="8">
        <f>D142+E142</f>
        <v/>
      </c>
      <c r="G142" s="8">
        <f>MAX(0,12-D142)</f>
        <v/>
      </c>
    </row>
    <row r="143">
      <c r="D143" s="8">
        <f>COUNTIFS(Attendance_Log!$C$2:$C$1001,A143,Attendance_Log!$D$2:$D$1001,B143,Attendance_Log!$O$2:$O$1001,"อนุมัติ",Attendance_Log!$K$2:$K$1001,"ผ่าน")</f>
        <v/>
      </c>
      <c r="E143" s="8">
        <f>SUMIFS(Green_Star_Requests!$H$2:$H$501,Green_Star_Requests!$B$2:$B$501,A143,Green_Star_Requests!$C$2:$C$501,B143,Green_Star_Requests!$J$2:$J$501,"อนุมัติ")</f>
        <v/>
      </c>
      <c r="F143" s="8">
        <f>D143+E143</f>
        <v/>
      </c>
      <c r="G143" s="8">
        <f>MAX(0,12-D143)</f>
        <v/>
      </c>
    </row>
    <row r="144">
      <c r="D144" s="8">
        <f>COUNTIFS(Attendance_Log!$C$2:$C$1001,A144,Attendance_Log!$D$2:$D$1001,B144,Attendance_Log!$O$2:$O$1001,"อนุมัติ",Attendance_Log!$K$2:$K$1001,"ผ่าน")</f>
        <v/>
      </c>
      <c r="E144" s="8">
        <f>SUMIFS(Green_Star_Requests!$H$2:$H$501,Green_Star_Requests!$B$2:$B$501,A144,Green_Star_Requests!$C$2:$C$501,B144,Green_Star_Requests!$J$2:$J$501,"อนุมัติ")</f>
        <v/>
      </c>
      <c r="F144" s="8">
        <f>D144+E144</f>
        <v/>
      </c>
      <c r="G144" s="8">
        <f>MAX(0,12-D144)</f>
        <v/>
      </c>
    </row>
    <row r="145">
      <c r="D145" s="8">
        <f>COUNTIFS(Attendance_Log!$C$2:$C$1001,A145,Attendance_Log!$D$2:$D$1001,B145,Attendance_Log!$O$2:$O$1001,"อนุมัติ",Attendance_Log!$K$2:$K$1001,"ผ่าน")</f>
        <v/>
      </c>
      <c r="E145" s="8">
        <f>SUMIFS(Green_Star_Requests!$H$2:$H$501,Green_Star_Requests!$B$2:$B$501,A145,Green_Star_Requests!$C$2:$C$501,B145,Green_Star_Requests!$J$2:$J$501,"อนุมัติ")</f>
        <v/>
      </c>
      <c r="F145" s="8">
        <f>D145+E145</f>
        <v/>
      </c>
      <c r="G145" s="8">
        <f>MAX(0,12-D145)</f>
        <v/>
      </c>
    </row>
    <row r="146">
      <c r="D146" s="8">
        <f>COUNTIFS(Attendance_Log!$C$2:$C$1001,A146,Attendance_Log!$D$2:$D$1001,B146,Attendance_Log!$O$2:$O$1001,"อนุมัติ",Attendance_Log!$K$2:$K$1001,"ผ่าน")</f>
        <v/>
      </c>
      <c r="E146" s="8">
        <f>SUMIFS(Green_Star_Requests!$H$2:$H$501,Green_Star_Requests!$B$2:$B$501,A146,Green_Star_Requests!$C$2:$C$501,B146,Green_Star_Requests!$J$2:$J$501,"อนุมัติ")</f>
        <v/>
      </c>
      <c r="F146" s="8">
        <f>D146+E146</f>
        <v/>
      </c>
      <c r="G146" s="8">
        <f>MAX(0,12-D146)</f>
        <v/>
      </c>
    </row>
    <row r="147">
      <c r="D147" s="8">
        <f>COUNTIFS(Attendance_Log!$C$2:$C$1001,A147,Attendance_Log!$D$2:$D$1001,B147,Attendance_Log!$O$2:$O$1001,"อนุมัติ",Attendance_Log!$K$2:$K$1001,"ผ่าน")</f>
        <v/>
      </c>
      <c r="E147" s="8">
        <f>SUMIFS(Green_Star_Requests!$H$2:$H$501,Green_Star_Requests!$B$2:$B$501,A147,Green_Star_Requests!$C$2:$C$501,B147,Green_Star_Requests!$J$2:$J$501,"อนุมัติ")</f>
        <v/>
      </c>
      <c r="F147" s="8">
        <f>D147+E147</f>
        <v/>
      </c>
      <c r="G147" s="8">
        <f>MAX(0,12-D147)</f>
        <v/>
      </c>
    </row>
    <row r="148">
      <c r="D148" s="8">
        <f>COUNTIFS(Attendance_Log!$C$2:$C$1001,A148,Attendance_Log!$D$2:$D$1001,B148,Attendance_Log!$O$2:$O$1001,"อนุมัติ",Attendance_Log!$K$2:$K$1001,"ผ่าน")</f>
        <v/>
      </c>
      <c r="E148" s="8">
        <f>SUMIFS(Green_Star_Requests!$H$2:$H$501,Green_Star_Requests!$B$2:$B$501,A148,Green_Star_Requests!$C$2:$C$501,B148,Green_Star_Requests!$J$2:$J$501,"อนุมัติ")</f>
        <v/>
      </c>
      <c r="F148" s="8">
        <f>D148+E148</f>
        <v/>
      </c>
      <c r="G148" s="8">
        <f>MAX(0,12-D148)</f>
        <v/>
      </c>
    </row>
    <row r="149">
      <c r="D149" s="8">
        <f>COUNTIFS(Attendance_Log!$C$2:$C$1001,A149,Attendance_Log!$D$2:$D$1001,B149,Attendance_Log!$O$2:$O$1001,"อนุมัติ",Attendance_Log!$K$2:$K$1001,"ผ่าน")</f>
        <v/>
      </c>
      <c r="E149" s="8">
        <f>SUMIFS(Green_Star_Requests!$H$2:$H$501,Green_Star_Requests!$B$2:$B$501,A149,Green_Star_Requests!$C$2:$C$501,B149,Green_Star_Requests!$J$2:$J$501,"อนุมัติ")</f>
        <v/>
      </c>
      <c r="F149" s="8">
        <f>D149+E149</f>
        <v/>
      </c>
      <c r="G149" s="8">
        <f>MAX(0,12-D149)</f>
        <v/>
      </c>
    </row>
    <row r="150">
      <c r="D150" s="8">
        <f>COUNTIFS(Attendance_Log!$C$2:$C$1001,A150,Attendance_Log!$D$2:$D$1001,B150,Attendance_Log!$O$2:$O$1001,"อนุมัติ",Attendance_Log!$K$2:$K$1001,"ผ่าน")</f>
        <v/>
      </c>
      <c r="E150" s="8">
        <f>SUMIFS(Green_Star_Requests!$H$2:$H$501,Green_Star_Requests!$B$2:$B$501,A150,Green_Star_Requests!$C$2:$C$501,B150,Green_Star_Requests!$J$2:$J$501,"อนุมัติ")</f>
        <v/>
      </c>
      <c r="F150" s="8">
        <f>D150+E150</f>
        <v/>
      </c>
      <c r="G150" s="8">
        <f>MAX(0,12-D150)</f>
        <v/>
      </c>
    </row>
    <row r="151">
      <c r="D151" s="8">
        <f>COUNTIFS(Attendance_Log!$C$2:$C$1001,A151,Attendance_Log!$D$2:$D$1001,B151,Attendance_Log!$O$2:$O$1001,"อนุมัติ",Attendance_Log!$K$2:$K$1001,"ผ่าน")</f>
        <v/>
      </c>
      <c r="E151" s="8">
        <f>SUMIFS(Green_Star_Requests!$H$2:$H$501,Green_Star_Requests!$B$2:$B$501,A151,Green_Star_Requests!$C$2:$C$501,B151,Green_Star_Requests!$J$2:$J$501,"อนุมัติ")</f>
        <v/>
      </c>
      <c r="F151" s="8">
        <f>D151+E151</f>
        <v/>
      </c>
      <c r="G151" s="8">
        <f>MAX(0,12-D151)</f>
        <v/>
      </c>
    </row>
    <row r="152">
      <c r="D152" s="8">
        <f>COUNTIFS(Attendance_Log!$C$2:$C$1001,A152,Attendance_Log!$D$2:$D$1001,B152,Attendance_Log!$O$2:$O$1001,"อนุมัติ",Attendance_Log!$K$2:$K$1001,"ผ่าน")</f>
        <v/>
      </c>
      <c r="E152" s="8">
        <f>SUMIFS(Green_Star_Requests!$H$2:$H$501,Green_Star_Requests!$B$2:$B$501,A152,Green_Star_Requests!$C$2:$C$501,B152,Green_Star_Requests!$J$2:$J$501,"อนุมัติ")</f>
        <v/>
      </c>
      <c r="F152" s="8">
        <f>D152+E152</f>
        <v/>
      </c>
      <c r="G152" s="8">
        <f>MAX(0,12-D152)</f>
        <v/>
      </c>
    </row>
    <row r="153">
      <c r="D153" s="8">
        <f>COUNTIFS(Attendance_Log!$C$2:$C$1001,A153,Attendance_Log!$D$2:$D$1001,B153,Attendance_Log!$O$2:$O$1001,"อนุมัติ",Attendance_Log!$K$2:$K$1001,"ผ่าน")</f>
        <v/>
      </c>
      <c r="E153" s="8">
        <f>SUMIFS(Green_Star_Requests!$H$2:$H$501,Green_Star_Requests!$B$2:$B$501,A153,Green_Star_Requests!$C$2:$C$501,B153,Green_Star_Requests!$J$2:$J$501,"อนุมัติ")</f>
        <v/>
      </c>
      <c r="F153" s="8">
        <f>D153+E153</f>
        <v/>
      </c>
      <c r="G153" s="8">
        <f>MAX(0,12-D153)</f>
        <v/>
      </c>
    </row>
    <row r="154">
      <c r="D154" s="8">
        <f>COUNTIFS(Attendance_Log!$C$2:$C$1001,A154,Attendance_Log!$D$2:$D$1001,B154,Attendance_Log!$O$2:$O$1001,"อนุมัติ",Attendance_Log!$K$2:$K$1001,"ผ่าน")</f>
        <v/>
      </c>
      <c r="E154" s="8">
        <f>SUMIFS(Green_Star_Requests!$H$2:$H$501,Green_Star_Requests!$B$2:$B$501,A154,Green_Star_Requests!$C$2:$C$501,B154,Green_Star_Requests!$J$2:$J$501,"อนุมัติ")</f>
        <v/>
      </c>
      <c r="F154" s="8">
        <f>D154+E154</f>
        <v/>
      </c>
      <c r="G154" s="8">
        <f>MAX(0,12-D154)</f>
        <v/>
      </c>
    </row>
    <row r="155">
      <c r="D155" s="8">
        <f>COUNTIFS(Attendance_Log!$C$2:$C$1001,A155,Attendance_Log!$D$2:$D$1001,B155,Attendance_Log!$O$2:$O$1001,"อนุมัติ",Attendance_Log!$K$2:$K$1001,"ผ่าน")</f>
        <v/>
      </c>
      <c r="E155" s="8">
        <f>SUMIFS(Green_Star_Requests!$H$2:$H$501,Green_Star_Requests!$B$2:$B$501,A155,Green_Star_Requests!$C$2:$C$501,B155,Green_Star_Requests!$J$2:$J$501,"อนุมัติ")</f>
        <v/>
      </c>
      <c r="F155" s="8">
        <f>D155+E155</f>
        <v/>
      </c>
      <c r="G155" s="8">
        <f>MAX(0,12-D155)</f>
        <v/>
      </c>
    </row>
    <row r="156">
      <c r="D156" s="8">
        <f>COUNTIFS(Attendance_Log!$C$2:$C$1001,A156,Attendance_Log!$D$2:$D$1001,B156,Attendance_Log!$O$2:$O$1001,"อนุมัติ",Attendance_Log!$K$2:$K$1001,"ผ่าน")</f>
        <v/>
      </c>
      <c r="E156" s="8">
        <f>SUMIFS(Green_Star_Requests!$H$2:$H$501,Green_Star_Requests!$B$2:$B$501,A156,Green_Star_Requests!$C$2:$C$501,B156,Green_Star_Requests!$J$2:$J$501,"อนุมัติ")</f>
        <v/>
      </c>
      <c r="F156" s="8">
        <f>D156+E156</f>
        <v/>
      </c>
      <c r="G156" s="8">
        <f>MAX(0,12-D156)</f>
        <v/>
      </c>
    </row>
    <row r="157">
      <c r="D157" s="8">
        <f>COUNTIFS(Attendance_Log!$C$2:$C$1001,A157,Attendance_Log!$D$2:$D$1001,B157,Attendance_Log!$O$2:$O$1001,"อนุมัติ",Attendance_Log!$K$2:$K$1001,"ผ่าน")</f>
        <v/>
      </c>
      <c r="E157" s="8">
        <f>SUMIFS(Green_Star_Requests!$H$2:$H$501,Green_Star_Requests!$B$2:$B$501,A157,Green_Star_Requests!$C$2:$C$501,B157,Green_Star_Requests!$J$2:$J$501,"อนุมัติ")</f>
        <v/>
      </c>
      <c r="F157" s="8">
        <f>D157+E157</f>
        <v/>
      </c>
      <c r="G157" s="8">
        <f>MAX(0,12-D157)</f>
        <v/>
      </c>
    </row>
    <row r="158">
      <c r="D158" s="8">
        <f>COUNTIFS(Attendance_Log!$C$2:$C$1001,A158,Attendance_Log!$D$2:$D$1001,B158,Attendance_Log!$O$2:$O$1001,"อนุมัติ",Attendance_Log!$K$2:$K$1001,"ผ่าน")</f>
        <v/>
      </c>
      <c r="E158" s="8">
        <f>SUMIFS(Green_Star_Requests!$H$2:$H$501,Green_Star_Requests!$B$2:$B$501,A158,Green_Star_Requests!$C$2:$C$501,B158,Green_Star_Requests!$J$2:$J$501,"อนุมัติ")</f>
        <v/>
      </c>
      <c r="F158" s="8">
        <f>D158+E158</f>
        <v/>
      </c>
      <c r="G158" s="8">
        <f>MAX(0,12-D158)</f>
        <v/>
      </c>
    </row>
    <row r="159">
      <c r="D159" s="8">
        <f>COUNTIFS(Attendance_Log!$C$2:$C$1001,A159,Attendance_Log!$D$2:$D$1001,B159,Attendance_Log!$O$2:$O$1001,"อนุมัติ",Attendance_Log!$K$2:$K$1001,"ผ่าน")</f>
        <v/>
      </c>
      <c r="E159" s="8">
        <f>SUMIFS(Green_Star_Requests!$H$2:$H$501,Green_Star_Requests!$B$2:$B$501,A159,Green_Star_Requests!$C$2:$C$501,B159,Green_Star_Requests!$J$2:$J$501,"อนุมัติ")</f>
        <v/>
      </c>
      <c r="F159" s="8">
        <f>D159+E159</f>
        <v/>
      </c>
      <c r="G159" s="8">
        <f>MAX(0,12-D159)</f>
        <v/>
      </c>
    </row>
    <row r="160">
      <c r="D160" s="8">
        <f>COUNTIFS(Attendance_Log!$C$2:$C$1001,A160,Attendance_Log!$D$2:$D$1001,B160,Attendance_Log!$O$2:$O$1001,"อนุมัติ",Attendance_Log!$K$2:$K$1001,"ผ่าน")</f>
        <v/>
      </c>
      <c r="E160" s="8">
        <f>SUMIFS(Green_Star_Requests!$H$2:$H$501,Green_Star_Requests!$B$2:$B$501,A160,Green_Star_Requests!$C$2:$C$501,B160,Green_Star_Requests!$J$2:$J$501,"อนุมัติ")</f>
        <v/>
      </c>
      <c r="F160" s="8">
        <f>D160+E160</f>
        <v/>
      </c>
      <c r="G160" s="8">
        <f>MAX(0,12-D160)</f>
        <v/>
      </c>
    </row>
    <row r="161">
      <c r="D161" s="8">
        <f>COUNTIFS(Attendance_Log!$C$2:$C$1001,A161,Attendance_Log!$D$2:$D$1001,B161,Attendance_Log!$O$2:$O$1001,"อนุมัติ",Attendance_Log!$K$2:$K$1001,"ผ่าน")</f>
        <v/>
      </c>
      <c r="E161" s="8">
        <f>SUMIFS(Green_Star_Requests!$H$2:$H$501,Green_Star_Requests!$B$2:$B$501,A161,Green_Star_Requests!$C$2:$C$501,B161,Green_Star_Requests!$J$2:$J$501,"อนุมัติ")</f>
        <v/>
      </c>
      <c r="F161" s="8">
        <f>D161+E161</f>
        <v/>
      </c>
      <c r="G161" s="8">
        <f>MAX(0,12-D161)</f>
        <v/>
      </c>
    </row>
    <row r="162">
      <c r="D162" s="8">
        <f>COUNTIFS(Attendance_Log!$C$2:$C$1001,A162,Attendance_Log!$D$2:$D$1001,B162,Attendance_Log!$O$2:$O$1001,"อนุมัติ",Attendance_Log!$K$2:$K$1001,"ผ่าน")</f>
        <v/>
      </c>
      <c r="E162" s="8">
        <f>SUMIFS(Green_Star_Requests!$H$2:$H$501,Green_Star_Requests!$B$2:$B$501,A162,Green_Star_Requests!$C$2:$C$501,B162,Green_Star_Requests!$J$2:$J$501,"อนุมัติ")</f>
        <v/>
      </c>
      <c r="F162" s="8">
        <f>D162+E162</f>
        <v/>
      </c>
      <c r="G162" s="8">
        <f>MAX(0,12-D162)</f>
        <v/>
      </c>
    </row>
    <row r="163">
      <c r="D163" s="8">
        <f>COUNTIFS(Attendance_Log!$C$2:$C$1001,A163,Attendance_Log!$D$2:$D$1001,B163,Attendance_Log!$O$2:$O$1001,"อนุมัติ",Attendance_Log!$K$2:$K$1001,"ผ่าน")</f>
        <v/>
      </c>
      <c r="E163" s="8">
        <f>SUMIFS(Green_Star_Requests!$H$2:$H$501,Green_Star_Requests!$B$2:$B$501,A163,Green_Star_Requests!$C$2:$C$501,B163,Green_Star_Requests!$J$2:$J$501,"อนุมัติ")</f>
        <v/>
      </c>
      <c r="F163" s="8">
        <f>D163+E163</f>
        <v/>
      </c>
      <c r="G163" s="8">
        <f>MAX(0,12-D163)</f>
        <v/>
      </c>
    </row>
    <row r="164">
      <c r="D164" s="8">
        <f>COUNTIFS(Attendance_Log!$C$2:$C$1001,A164,Attendance_Log!$D$2:$D$1001,B164,Attendance_Log!$O$2:$O$1001,"อนุมัติ",Attendance_Log!$K$2:$K$1001,"ผ่าน")</f>
        <v/>
      </c>
      <c r="E164" s="8">
        <f>SUMIFS(Green_Star_Requests!$H$2:$H$501,Green_Star_Requests!$B$2:$B$501,A164,Green_Star_Requests!$C$2:$C$501,B164,Green_Star_Requests!$J$2:$J$501,"อนุมัติ")</f>
        <v/>
      </c>
      <c r="F164" s="8">
        <f>D164+E164</f>
        <v/>
      </c>
      <c r="G164" s="8">
        <f>MAX(0,12-D164)</f>
        <v/>
      </c>
    </row>
    <row r="165">
      <c r="D165" s="8">
        <f>COUNTIFS(Attendance_Log!$C$2:$C$1001,A165,Attendance_Log!$D$2:$D$1001,B165,Attendance_Log!$O$2:$O$1001,"อนุมัติ",Attendance_Log!$K$2:$K$1001,"ผ่าน")</f>
        <v/>
      </c>
      <c r="E165" s="8">
        <f>SUMIFS(Green_Star_Requests!$H$2:$H$501,Green_Star_Requests!$B$2:$B$501,A165,Green_Star_Requests!$C$2:$C$501,B165,Green_Star_Requests!$J$2:$J$501,"อนุมัติ")</f>
        <v/>
      </c>
      <c r="F165" s="8">
        <f>D165+E165</f>
        <v/>
      </c>
      <c r="G165" s="8">
        <f>MAX(0,12-D165)</f>
        <v/>
      </c>
    </row>
    <row r="166">
      <c r="D166" s="8">
        <f>COUNTIFS(Attendance_Log!$C$2:$C$1001,A166,Attendance_Log!$D$2:$D$1001,B166,Attendance_Log!$O$2:$O$1001,"อนุมัติ",Attendance_Log!$K$2:$K$1001,"ผ่าน")</f>
        <v/>
      </c>
      <c r="E166" s="8">
        <f>SUMIFS(Green_Star_Requests!$H$2:$H$501,Green_Star_Requests!$B$2:$B$501,A166,Green_Star_Requests!$C$2:$C$501,B166,Green_Star_Requests!$J$2:$J$501,"อนุมัติ")</f>
        <v/>
      </c>
      <c r="F166" s="8">
        <f>D166+E166</f>
        <v/>
      </c>
      <c r="G166" s="8">
        <f>MAX(0,12-D166)</f>
        <v/>
      </c>
    </row>
    <row r="167">
      <c r="D167" s="8">
        <f>COUNTIFS(Attendance_Log!$C$2:$C$1001,A167,Attendance_Log!$D$2:$D$1001,B167,Attendance_Log!$O$2:$O$1001,"อนุมัติ",Attendance_Log!$K$2:$K$1001,"ผ่าน")</f>
        <v/>
      </c>
      <c r="E167" s="8">
        <f>SUMIFS(Green_Star_Requests!$H$2:$H$501,Green_Star_Requests!$B$2:$B$501,A167,Green_Star_Requests!$C$2:$C$501,B167,Green_Star_Requests!$J$2:$J$501,"อนุมัติ")</f>
        <v/>
      </c>
      <c r="F167" s="8">
        <f>D167+E167</f>
        <v/>
      </c>
      <c r="G167" s="8">
        <f>MAX(0,12-D167)</f>
        <v/>
      </c>
    </row>
    <row r="168">
      <c r="D168" s="8">
        <f>COUNTIFS(Attendance_Log!$C$2:$C$1001,A168,Attendance_Log!$D$2:$D$1001,B168,Attendance_Log!$O$2:$O$1001,"อนุมัติ",Attendance_Log!$K$2:$K$1001,"ผ่าน")</f>
        <v/>
      </c>
      <c r="E168" s="8">
        <f>SUMIFS(Green_Star_Requests!$H$2:$H$501,Green_Star_Requests!$B$2:$B$501,A168,Green_Star_Requests!$C$2:$C$501,B168,Green_Star_Requests!$J$2:$J$501,"อนุมัติ")</f>
        <v/>
      </c>
      <c r="F168" s="8">
        <f>D168+E168</f>
        <v/>
      </c>
      <c r="G168" s="8">
        <f>MAX(0,12-D168)</f>
        <v/>
      </c>
    </row>
    <row r="169">
      <c r="D169" s="8">
        <f>COUNTIFS(Attendance_Log!$C$2:$C$1001,A169,Attendance_Log!$D$2:$D$1001,B169,Attendance_Log!$O$2:$O$1001,"อนุมัติ",Attendance_Log!$K$2:$K$1001,"ผ่าน")</f>
        <v/>
      </c>
      <c r="E169" s="8">
        <f>SUMIFS(Green_Star_Requests!$H$2:$H$501,Green_Star_Requests!$B$2:$B$501,A169,Green_Star_Requests!$C$2:$C$501,B169,Green_Star_Requests!$J$2:$J$501,"อนุมัติ")</f>
        <v/>
      </c>
      <c r="F169" s="8">
        <f>D169+E169</f>
        <v/>
      </c>
      <c r="G169" s="8">
        <f>MAX(0,12-D169)</f>
        <v/>
      </c>
    </row>
    <row r="170">
      <c r="D170" s="8">
        <f>COUNTIFS(Attendance_Log!$C$2:$C$1001,A170,Attendance_Log!$D$2:$D$1001,B170,Attendance_Log!$O$2:$O$1001,"อนุมัติ",Attendance_Log!$K$2:$K$1001,"ผ่าน")</f>
        <v/>
      </c>
      <c r="E170" s="8">
        <f>SUMIFS(Green_Star_Requests!$H$2:$H$501,Green_Star_Requests!$B$2:$B$501,A170,Green_Star_Requests!$C$2:$C$501,B170,Green_Star_Requests!$J$2:$J$501,"อนุมัติ")</f>
        <v/>
      </c>
      <c r="F170" s="8">
        <f>D170+E170</f>
        <v/>
      </c>
      <c r="G170" s="8">
        <f>MAX(0,12-D170)</f>
        <v/>
      </c>
    </row>
    <row r="171">
      <c r="D171" s="8">
        <f>COUNTIFS(Attendance_Log!$C$2:$C$1001,A171,Attendance_Log!$D$2:$D$1001,B171,Attendance_Log!$O$2:$O$1001,"อนุมัติ",Attendance_Log!$K$2:$K$1001,"ผ่าน")</f>
        <v/>
      </c>
      <c r="E171" s="8">
        <f>SUMIFS(Green_Star_Requests!$H$2:$H$501,Green_Star_Requests!$B$2:$B$501,A171,Green_Star_Requests!$C$2:$C$501,B171,Green_Star_Requests!$J$2:$J$501,"อนุมัติ")</f>
        <v/>
      </c>
      <c r="F171" s="8">
        <f>D171+E171</f>
        <v/>
      </c>
      <c r="G171" s="8">
        <f>MAX(0,12-D171)</f>
        <v/>
      </c>
    </row>
    <row r="172">
      <c r="D172" s="8">
        <f>COUNTIFS(Attendance_Log!$C$2:$C$1001,A172,Attendance_Log!$D$2:$D$1001,B172,Attendance_Log!$O$2:$O$1001,"อนุมัติ",Attendance_Log!$K$2:$K$1001,"ผ่าน")</f>
        <v/>
      </c>
      <c r="E172" s="8">
        <f>SUMIFS(Green_Star_Requests!$H$2:$H$501,Green_Star_Requests!$B$2:$B$501,A172,Green_Star_Requests!$C$2:$C$501,B172,Green_Star_Requests!$J$2:$J$501,"อนุมัติ")</f>
        <v/>
      </c>
      <c r="F172" s="8">
        <f>D172+E172</f>
        <v/>
      </c>
      <c r="G172" s="8">
        <f>MAX(0,12-D172)</f>
        <v/>
      </c>
    </row>
    <row r="173">
      <c r="D173" s="8">
        <f>COUNTIFS(Attendance_Log!$C$2:$C$1001,A173,Attendance_Log!$D$2:$D$1001,B173,Attendance_Log!$O$2:$O$1001,"อนุมัติ",Attendance_Log!$K$2:$K$1001,"ผ่าน")</f>
        <v/>
      </c>
      <c r="E173" s="8">
        <f>SUMIFS(Green_Star_Requests!$H$2:$H$501,Green_Star_Requests!$B$2:$B$501,A173,Green_Star_Requests!$C$2:$C$501,B173,Green_Star_Requests!$J$2:$J$501,"อนุมัติ")</f>
        <v/>
      </c>
      <c r="F173" s="8">
        <f>D173+E173</f>
        <v/>
      </c>
      <c r="G173" s="8">
        <f>MAX(0,12-D173)</f>
        <v/>
      </c>
    </row>
    <row r="174">
      <c r="D174" s="8">
        <f>COUNTIFS(Attendance_Log!$C$2:$C$1001,A174,Attendance_Log!$D$2:$D$1001,B174,Attendance_Log!$O$2:$O$1001,"อนุมัติ",Attendance_Log!$K$2:$K$1001,"ผ่าน")</f>
        <v/>
      </c>
      <c r="E174" s="8">
        <f>SUMIFS(Green_Star_Requests!$H$2:$H$501,Green_Star_Requests!$B$2:$B$501,A174,Green_Star_Requests!$C$2:$C$501,B174,Green_Star_Requests!$J$2:$J$501,"อนุมัติ")</f>
        <v/>
      </c>
      <c r="F174" s="8">
        <f>D174+E174</f>
        <v/>
      </c>
      <c r="G174" s="8">
        <f>MAX(0,12-D174)</f>
        <v/>
      </c>
    </row>
    <row r="175">
      <c r="D175" s="8">
        <f>COUNTIFS(Attendance_Log!$C$2:$C$1001,A175,Attendance_Log!$D$2:$D$1001,B175,Attendance_Log!$O$2:$O$1001,"อนุมัติ",Attendance_Log!$K$2:$K$1001,"ผ่าน")</f>
        <v/>
      </c>
      <c r="E175" s="8">
        <f>SUMIFS(Green_Star_Requests!$H$2:$H$501,Green_Star_Requests!$B$2:$B$501,A175,Green_Star_Requests!$C$2:$C$501,B175,Green_Star_Requests!$J$2:$J$501,"อนุมัติ")</f>
        <v/>
      </c>
      <c r="F175" s="8">
        <f>D175+E175</f>
        <v/>
      </c>
      <c r="G175" s="8">
        <f>MAX(0,12-D175)</f>
        <v/>
      </c>
    </row>
    <row r="176">
      <c r="D176" s="8">
        <f>COUNTIFS(Attendance_Log!$C$2:$C$1001,A176,Attendance_Log!$D$2:$D$1001,B176,Attendance_Log!$O$2:$O$1001,"อนุมัติ",Attendance_Log!$K$2:$K$1001,"ผ่าน")</f>
        <v/>
      </c>
      <c r="E176" s="8">
        <f>SUMIFS(Green_Star_Requests!$H$2:$H$501,Green_Star_Requests!$B$2:$B$501,A176,Green_Star_Requests!$C$2:$C$501,B176,Green_Star_Requests!$J$2:$J$501,"อนุมัติ")</f>
        <v/>
      </c>
      <c r="F176" s="8">
        <f>D176+E176</f>
        <v/>
      </c>
      <c r="G176" s="8">
        <f>MAX(0,12-D176)</f>
        <v/>
      </c>
    </row>
    <row r="177">
      <c r="D177" s="8">
        <f>COUNTIFS(Attendance_Log!$C$2:$C$1001,A177,Attendance_Log!$D$2:$D$1001,B177,Attendance_Log!$O$2:$O$1001,"อนุมัติ",Attendance_Log!$K$2:$K$1001,"ผ่าน")</f>
        <v/>
      </c>
      <c r="E177" s="8">
        <f>SUMIFS(Green_Star_Requests!$H$2:$H$501,Green_Star_Requests!$B$2:$B$501,A177,Green_Star_Requests!$C$2:$C$501,B177,Green_Star_Requests!$J$2:$J$501,"อนุมัติ")</f>
        <v/>
      </c>
      <c r="F177" s="8">
        <f>D177+E177</f>
        <v/>
      </c>
      <c r="G177" s="8">
        <f>MAX(0,12-D177)</f>
        <v/>
      </c>
    </row>
    <row r="178">
      <c r="D178" s="8">
        <f>COUNTIFS(Attendance_Log!$C$2:$C$1001,A178,Attendance_Log!$D$2:$D$1001,B178,Attendance_Log!$O$2:$O$1001,"อนุมัติ",Attendance_Log!$K$2:$K$1001,"ผ่าน")</f>
        <v/>
      </c>
      <c r="E178" s="8">
        <f>SUMIFS(Green_Star_Requests!$H$2:$H$501,Green_Star_Requests!$B$2:$B$501,A178,Green_Star_Requests!$C$2:$C$501,B178,Green_Star_Requests!$J$2:$J$501,"อนุมัติ")</f>
        <v/>
      </c>
      <c r="F178" s="8">
        <f>D178+E178</f>
        <v/>
      </c>
      <c r="G178" s="8">
        <f>MAX(0,12-D178)</f>
        <v/>
      </c>
    </row>
    <row r="179">
      <c r="D179" s="8">
        <f>COUNTIFS(Attendance_Log!$C$2:$C$1001,A179,Attendance_Log!$D$2:$D$1001,B179,Attendance_Log!$O$2:$O$1001,"อนุมัติ",Attendance_Log!$K$2:$K$1001,"ผ่าน")</f>
        <v/>
      </c>
      <c r="E179" s="8">
        <f>SUMIFS(Green_Star_Requests!$H$2:$H$501,Green_Star_Requests!$B$2:$B$501,A179,Green_Star_Requests!$C$2:$C$501,B179,Green_Star_Requests!$J$2:$J$501,"อนุมัติ")</f>
        <v/>
      </c>
      <c r="F179" s="8">
        <f>D179+E179</f>
        <v/>
      </c>
      <c r="G179" s="8">
        <f>MAX(0,12-D179)</f>
        <v/>
      </c>
    </row>
    <row r="180">
      <c r="D180" s="8">
        <f>COUNTIFS(Attendance_Log!$C$2:$C$1001,A180,Attendance_Log!$D$2:$D$1001,B180,Attendance_Log!$O$2:$O$1001,"อนุมัติ",Attendance_Log!$K$2:$K$1001,"ผ่าน")</f>
        <v/>
      </c>
      <c r="E180" s="8">
        <f>SUMIFS(Green_Star_Requests!$H$2:$H$501,Green_Star_Requests!$B$2:$B$501,A180,Green_Star_Requests!$C$2:$C$501,B180,Green_Star_Requests!$J$2:$J$501,"อนุมัติ")</f>
        <v/>
      </c>
      <c r="F180" s="8">
        <f>D180+E180</f>
        <v/>
      </c>
      <c r="G180" s="8">
        <f>MAX(0,12-D180)</f>
        <v/>
      </c>
    </row>
    <row r="181">
      <c r="D181" s="8">
        <f>COUNTIFS(Attendance_Log!$C$2:$C$1001,A181,Attendance_Log!$D$2:$D$1001,B181,Attendance_Log!$O$2:$O$1001,"อนุมัติ",Attendance_Log!$K$2:$K$1001,"ผ่าน")</f>
        <v/>
      </c>
      <c r="E181" s="8">
        <f>SUMIFS(Green_Star_Requests!$H$2:$H$501,Green_Star_Requests!$B$2:$B$501,A181,Green_Star_Requests!$C$2:$C$501,B181,Green_Star_Requests!$J$2:$J$501,"อนุมัติ")</f>
        <v/>
      </c>
      <c r="F181" s="8">
        <f>D181+E181</f>
        <v/>
      </c>
      <c r="G181" s="8">
        <f>MAX(0,12-D181)</f>
        <v/>
      </c>
    </row>
    <row r="182">
      <c r="D182" s="8">
        <f>COUNTIFS(Attendance_Log!$C$2:$C$1001,A182,Attendance_Log!$D$2:$D$1001,B182,Attendance_Log!$O$2:$O$1001,"อนุมัติ",Attendance_Log!$K$2:$K$1001,"ผ่าน")</f>
        <v/>
      </c>
      <c r="E182" s="8">
        <f>SUMIFS(Green_Star_Requests!$H$2:$H$501,Green_Star_Requests!$B$2:$B$501,A182,Green_Star_Requests!$C$2:$C$501,B182,Green_Star_Requests!$J$2:$J$501,"อนุมัติ")</f>
        <v/>
      </c>
      <c r="F182" s="8">
        <f>D182+E182</f>
        <v/>
      </c>
      <c r="G182" s="8">
        <f>MAX(0,12-D182)</f>
        <v/>
      </c>
    </row>
    <row r="183">
      <c r="D183" s="8">
        <f>COUNTIFS(Attendance_Log!$C$2:$C$1001,A183,Attendance_Log!$D$2:$D$1001,B183,Attendance_Log!$O$2:$O$1001,"อนุมัติ",Attendance_Log!$K$2:$K$1001,"ผ่าน")</f>
        <v/>
      </c>
      <c r="E183" s="8">
        <f>SUMIFS(Green_Star_Requests!$H$2:$H$501,Green_Star_Requests!$B$2:$B$501,A183,Green_Star_Requests!$C$2:$C$501,B183,Green_Star_Requests!$J$2:$J$501,"อนุมัติ")</f>
        <v/>
      </c>
      <c r="F183" s="8">
        <f>D183+E183</f>
        <v/>
      </c>
      <c r="G183" s="8">
        <f>MAX(0,12-D183)</f>
        <v/>
      </c>
    </row>
    <row r="184">
      <c r="D184" s="8">
        <f>COUNTIFS(Attendance_Log!$C$2:$C$1001,A184,Attendance_Log!$D$2:$D$1001,B184,Attendance_Log!$O$2:$O$1001,"อนุมัติ",Attendance_Log!$K$2:$K$1001,"ผ่าน")</f>
        <v/>
      </c>
      <c r="E184" s="8">
        <f>SUMIFS(Green_Star_Requests!$H$2:$H$501,Green_Star_Requests!$B$2:$B$501,A184,Green_Star_Requests!$C$2:$C$501,B184,Green_Star_Requests!$J$2:$J$501,"อนุมัติ")</f>
        <v/>
      </c>
      <c r="F184" s="8">
        <f>D184+E184</f>
        <v/>
      </c>
      <c r="G184" s="8">
        <f>MAX(0,12-D184)</f>
        <v/>
      </c>
    </row>
    <row r="185">
      <c r="D185" s="8">
        <f>COUNTIFS(Attendance_Log!$C$2:$C$1001,A185,Attendance_Log!$D$2:$D$1001,B185,Attendance_Log!$O$2:$O$1001,"อนุมัติ",Attendance_Log!$K$2:$K$1001,"ผ่าน")</f>
        <v/>
      </c>
      <c r="E185" s="8">
        <f>SUMIFS(Green_Star_Requests!$H$2:$H$501,Green_Star_Requests!$B$2:$B$501,A185,Green_Star_Requests!$C$2:$C$501,B185,Green_Star_Requests!$J$2:$J$501,"อนุมัติ")</f>
        <v/>
      </c>
      <c r="F185" s="8">
        <f>D185+E185</f>
        <v/>
      </c>
      <c r="G185" s="8">
        <f>MAX(0,12-D185)</f>
        <v/>
      </c>
    </row>
    <row r="186">
      <c r="D186" s="8">
        <f>COUNTIFS(Attendance_Log!$C$2:$C$1001,A186,Attendance_Log!$D$2:$D$1001,B186,Attendance_Log!$O$2:$O$1001,"อนุมัติ",Attendance_Log!$K$2:$K$1001,"ผ่าน")</f>
        <v/>
      </c>
      <c r="E186" s="8">
        <f>SUMIFS(Green_Star_Requests!$H$2:$H$501,Green_Star_Requests!$B$2:$B$501,A186,Green_Star_Requests!$C$2:$C$501,B186,Green_Star_Requests!$J$2:$J$501,"อนุมัติ")</f>
        <v/>
      </c>
      <c r="F186" s="8">
        <f>D186+E186</f>
        <v/>
      </c>
      <c r="G186" s="8">
        <f>MAX(0,12-D186)</f>
        <v/>
      </c>
    </row>
    <row r="187">
      <c r="D187" s="8">
        <f>COUNTIFS(Attendance_Log!$C$2:$C$1001,A187,Attendance_Log!$D$2:$D$1001,B187,Attendance_Log!$O$2:$O$1001,"อนุมัติ",Attendance_Log!$K$2:$K$1001,"ผ่าน")</f>
        <v/>
      </c>
      <c r="E187" s="8">
        <f>SUMIFS(Green_Star_Requests!$H$2:$H$501,Green_Star_Requests!$B$2:$B$501,A187,Green_Star_Requests!$C$2:$C$501,B187,Green_Star_Requests!$J$2:$J$501,"อนุมัติ")</f>
        <v/>
      </c>
      <c r="F187" s="8">
        <f>D187+E187</f>
        <v/>
      </c>
      <c r="G187" s="8">
        <f>MAX(0,12-D187)</f>
        <v/>
      </c>
    </row>
    <row r="188">
      <c r="D188" s="8">
        <f>COUNTIFS(Attendance_Log!$C$2:$C$1001,A188,Attendance_Log!$D$2:$D$1001,B188,Attendance_Log!$O$2:$O$1001,"อนุมัติ",Attendance_Log!$K$2:$K$1001,"ผ่าน")</f>
        <v/>
      </c>
      <c r="E188" s="8">
        <f>SUMIFS(Green_Star_Requests!$H$2:$H$501,Green_Star_Requests!$B$2:$B$501,A188,Green_Star_Requests!$C$2:$C$501,B188,Green_Star_Requests!$J$2:$J$501,"อนุมัติ")</f>
        <v/>
      </c>
      <c r="F188" s="8">
        <f>D188+E188</f>
        <v/>
      </c>
      <c r="G188" s="8">
        <f>MAX(0,12-D188)</f>
        <v/>
      </c>
    </row>
    <row r="189">
      <c r="D189" s="8">
        <f>COUNTIFS(Attendance_Log!$C$2:$C$1001,A189,Attendance_Log!$D$2:$D$1001,B189,Attendance_Log!$O$2:$O$1001,"อนุมัติ",Attendance_Log!$K$2:$K$1001,"ผ่าน")</f>
        <v/>
      </c>
      <c r="E189" s="8">
        <f>SUMIFS(Green_Star_Requests!$H$2:$H$501,Green_Star_Requests!$B$2:$B$501,A189,Green_Star_Requests!$C$2:$C$501,B189,Green_Star_Requests!$J$2:$J$501,"อนุมัติ")</f>
        <v/>
      </c>
      <c r="F189" s="8">
        <f>D189+E189</f>
        <v/>
      </c>
      <c r="G189" s="8">
        <f>MAX(0,12-D189)</f>
        <v/>
      </c>
    </row>
    <row r="190">
      <c r="D190" s="8">
        <f>COUNTIFS(Attendance_Log!$C$2:$C$1001,A190,Attendance_Log!$D$2:$D$1001,B190,Attendance_Log!$O$2:$O$1001,"อนุมัติ",Attendance_Log!$K$2:$K$1001,"ผ่าน")</f>
        <v/>
      </c>
      <c r="E190" s="8">
        <f>SUMIFS(Green_Star_Requests!$H$2:$H$501,Green_Star_Requests!$B$2:$B$501,A190,Green_Star_Requests!$C$2:$C$501,B190,Green_Star_Requests!$J$2:$J$501,"อนุมัติ")</f>
        <v/>
      </c>
      <c r="F190" s="8">
        <f>D190+E190</f>
        <v/>
      </c>
      <c r="G190" s="8">
        <f>MAX(0,12-D190)</f>
        <v/>
      </c>
    </row>
    <row r="191">
      <c r="D191" s="8">
        <f>COUNTIFS(Attendance_Log!$C$2:$C$1001,A191,Attendance_Log!$D$2:$D$1001,B191,Attendance_Log!$O$2:$O$1001,"อนุมัติ",Attendance_Log!$K$2:$K$1001,"ผ่าน")</f>
        <v/>
      </c>
      <c r="E191" s="8">
        <f>SUMIFS(Green_Star_Requests!$H$2:$H$501,Green_Star_Requests!$B$2:$B$501,A191,Green_Star_Requests!$C$2:$C$501,B191,Green_Star_Requests!$J$2:$J$501,"อนุมัติ")</f>
        <v/>
      </c>
      <c r="F191" s="8">
        <f>D191+E191</f>
        <v/>
      </c>
      <c r="G191" s="8">
        <f>MAX(0,12-D191)</f>
        <v/>
      </c>
    </row>
    <row r="192">
      <c r="D192" s="8">
        <f>COUNTIFS(Attendance_Log!$C$2:$C$1001,A192,Attendance_Log!$D$2:$D$1001,B192,Attendance_Log!$O$2:$O$1001,"อนุมัติ",Attendance_Log!$K$2:$K$1001,"ผ่าน")</f>
        <v/>
      </c>
      <c r="E192" s="8">
        <f>SUMIFS(Green_Star_Requests!$H$2:$H$501,Green_Star_Requests!$B$2:$B$501,A192,Green_Star_Requests!$C$2:$C$501,B192,Green_Star_Requests!$J$2:$J$501,"อนุมัติ")</f>
        <v/>
      </c>
      <c r="F192" s="8">
        <f>D192+E192</f>
        <v/>
      </c>
      <c r="G192" s="8">
        <f>MAX(0,12-D192)</f>
        <v/>
      </c>
    </row>
    <row r="193">
      <c r="D193" s="8">
        <f>COUNTIFS(Attendance_Log!$C$2:$C$1001,A193,Attendance_Log!$D$2:$D$1001,B193,Attendance_Log!$O$2:$O$1001,"อนุมัติ",Attendance_Log!$K$2:$K$1001,"ผ่าน")</f>
        <v/>
      </c>
      <c r="E193" s="8">
        <f>SUMIFS(Green_Star_Requests!$H$2:$H$501,Green_Star_Requests!$B$2:$B$501,A193,Green_Star_Requests!$C$2:$C$501,B193,Green_Star_Requests!$J$2:$J$501,"อนุมัติ")</f>
        <v/>
      </c>
      <c r="F193" s="8">
        <f>D193+E193</f>
        <v/>
      </c>
      <c r="G193" s="8">
        <f>MAX(0,12-D193)</f>
        <v/>
      </c>
    </row>
    <row r="194">
      <c r="D194" s="8">
        <f>COUNTIFS(Attendance_Log!$C$2:$C$1001,A194,Attendance_Log!$D$2:$D$1001,B194,Attendance_Log!$O$2:$O$1001,"อนุมัติ",Attendance_Log!$K$2:$K$1001,"ผ่าน")</f>
        <v/>
      </c>
      <c r="E194" s="8">
        <f>SUMIFS(Green_Star_Requests!$H$2:$H$501,Green_Star_Requests!$B$2:$B$501,A194,Green_Star_Requests!$C$2:$C$501,B194,Green_Star_Requests!$J$2:$J$501,"อนุมัติ")</f>
        <v/>
      </c>
      <c r="F194" s="8">
        <f>D194+E194</f>
        <v/>
      </c>
      <c r="G194" s="8">
        <f>MAX(0,12-D194)</f>
        <v/>
      </c>
    </row>
    <row r="195">
      <c r="D195" s="8">
        <f>COUNTIFS(Attendance_Log!$C$2:$C$1001,A195,Attendance_Log!$D$2:$D$1001,B195,Attendance_Log!$O$2:$O$1001,"อนุมัติ",Attendance_Log!$K$2:$K$1001,"ผ่าน")</f>
        <v/>
      </c>
      <c r="E195" s="8">
        <f>SUMIFS(Green_Star_Requests!$H$2:$H$501,Green_Star_Requests!$B$2:$B$501,A195,Green_Star_Requests!$C$2:$C$501,B195,Green_Star_Requests!$J$2:$J$501,"อนุมัติ")</f>
        <v/>
      </c>
      <c r="F195" s="8">
        <f>D195+E195</f>
        <v/>
      </c>
      <c r="G195" s="8">
        <f>MAX(0,12-D195)</f>
        <v/>
      </c>
    </row>
    <row r="196">
      <c r="D196" s="8">
        <f>COUNTIFS(Attendance_Log!$C$2:$C$1001,A196,Attendance_Log!$D$2:$D$1001,B196,Attendance_Log!$O$2:$O$1001,"อนุมัติ",Attendance_Log!$K$2:$K$1001,"ผ่าน")</f>
        <v/>
      </c>
      <c r="E196" s="8">
        <f>SUMIFS(Green_Star_Requests!$H$2:$H$501,Green_Star_Requests!$B$2:$B$501,A196,Green_Star_Requests!$C$2:$C$501,B196,Green_Star_Requests!$J$2:$J$501,"อนุมัติ")</f>
        <v/>
      </c>
      <c r="F196" s="8">
        <f>D196+E196</f>
        <v/>
      </c>
      <c r="G196" s="8">
        <f>MAX(0,12-D196)</f>
        <v/>
      </c>
    </row>
    <row r="197">
      <c r="D197" s="8">
        <f>COUNTIFS(Attendance_Log!$C$2:$C$1001,A197,Attendance_Log!$D$2:$D$1001,B197,Attendance_Log!$O$2:$O$1001,"อนุมัติ",Attendance_Log!$K$2:$K$1001,"ผ่าน")</f>
        <v/>
      </c>
      <c r="E197" s="8">
        <f>SUMIFS(Green_Star_Requests!$H$2:$H$501,Green_Star_Requests!$B$2:$B$501,A197,Green_Star_Requests!$C$2:$C$501,B197,Green_Star_Requests!$J$2:$J$501,"อนุมัติ")</f>
        <v/>
      </c>
      <c r="F197" s="8">
        <f>D197+E197</f>
        <v/>
      </c>
      <c r="G197" s="8">
        <f>MAX(0,12-D197)</f>
        <v/>
      </c>
    </row>
    <row r="198">
      <c r="D198" s="8">
        <f>COUNTIFS(Attendance_Log!$C$2:$C$1001,A198,Attendance_Log!$D$2:$D$1001,B198,Attendance_Log!$O$2:$O$1001,"อนุมัติ",Attendance_Log!$K$2:$K$1001,"ผ่าน")</f>
        <v/>
      </c>
      <c r="E198" s="8">
        <f>SUMIFS(Green_Star_Requests!$H$2:$H$501,Green_Star_Requests!$B$2:$B$501,A198,Green_Star_Requests!$C$2:$C$501,B198,Green_Star_Requests!$J$2:$J$501,"อนุมัติ")</f>
        <v/>
      </c>
      <c r="F198" s="8">
        <f>D198+E198</f>
        <v/>
      </c>
      <c r="G198" s="8">
        <f>MAX(0,12-D198)</f>
        <v/>
      </c>
    </row>
    <row r="199">
      <c r="D199" s="8">
        <f>COUNTIFS(Attendance_Log!$C$2:$C$1001,A199,Attendance_Log!$D$2:$D$1001,B199,Attendance_Log!$O$2:$O$1001,"อนุมัติ",Attendance_Log!$K$2:$K$1001,"ผ่าน")</f>
        <v/>
      </c>
      <c r="E199" s="8">
        <f>SUMIFS(Green_Star_Requests!$H$2:$H$501,Green_Star_Requests!$B$2:$B$501,A199,Green_Star_Requests!$C$2:$C$501,B199,Green_Star_Requests!$J$2:$J$501,"อนุมัติ")</f>
        <v/>
      </c>
      <c r="F199" s="8">
        <f>D199+E199</f>
        <v/>
      </c>
      <c r="G199" s="8">
        <f>MAX(0,12-D199)</f>
        <v/>
      </c>
    </row>
    <row r="200">
      <c r="D200" s="8">
        <f>COUNTIFS(Attendance_Log!$C$2:$C$1001,A200,Attendance_Log!$D$2:$D$1001,B200,Attendance_Log!$O$2:$O$1001,"อนุมัติ",Attendance_Log!$K$2:$K$1001,"ผ่าน")</f>
        <v/>
      </c>
      <c r="E200" s="8">
        <f>SUMIFS(Green_Star_Requests!$H$2:$H$501,Green_Star_Requests!$B$2:$B$501,A200,Green_Star_Requests!$C$2:$C$501,B200,Green_Star_Requests!$J$2:$J$501,"อนุมัติ")</f>
        <v/>
      </c>
      <c r="F200" s="8">
        <f>D200+E200</f>
        <v/>
      </c>
      <c r="G200" s="8">
        <f>MAX(0,12-D200)</f>
        <v/>
      </c>
    </row>
    <row r="201">
      <c r="D201" s="8">
        <f>COUNTIFS(Attendance_Log!$C$2:$C$1001,A201,Attendance_Log!$D$2:$D$1001,B201,Attendance_Log!$O$2:$O$1001,"อนุมัติ",Attendance_Log!$K$2:$K$1001,"ผ่าน")</f>
        <v/>
      </c>
      <c r="E201" s="8">
        <f>SUMIFS(Green_Star_Requests!$H$2:$H$501,Green_Star_Requests!$B$2:$B$501,A201,Green_Star_Requests!$C$2:$C$501,B201,Green_Star_Requests!$J$2:$J$501,"อนุมัติ")</f>
        <v/>
      </c>
      <c r="F201" s="8">
        <f>D201+E201</f>
        <v/>
      </c>
      <c r="G201" s="8">
        <f>MAX(0,12-D201)</f>
        <v/>
      </c>
    </row>
    <row r="202">
      <c r="D202" s="8">
        <f>COUNTIFS(Attendance_Log!$C$2:$C$1001,A202,Attendance_Log!$D$2:$D$1001,B202,Attendance_Log!$O$2:$O$1001,"อนุมัติ",Attendance_Log!$K$2:$K$1001,"ผ่าน")</f>
        <v/>
      </c>
      <c r="E202" s="8">
        <f>SUMIFS(Green_Star_Requests!$H$2:$H$501,Green_Star_Requests!$B$2:$B$501,A202,Green_Star_Requests!$C$2:$C$501,B202,Green_Star_Requests!$J$2:$J$501,"อนุมัติ")</f>
        <v/>
      </c>
      <c r="F202" s="8">
        <f>D202+E202</f>
        <v/>
      </c>
      <c r="G202" s="8">
        <f>MAX(0,12-D202)</f>
        <v/>
      </c>
    </row>
    <row r="203">
      <c r="D203" s="8">
        <f>COUNTIFS(Attendance_Log!$C$2:$C$1001,A203,Attendance_Log!$D$2:$D$1001,B203,Attendance_Log!$O$2:$O$1001,"อนุมัติ",Attendance_Log!$K$2:$K$1001,"ผ่าน")</f>
        <v/>
      </c>
      <c r="E203" s="8">
        <f>SUMIFS(Green_Star_Requests!$H$2:$H$501,Green_Star_Requests!$B$2:$B$501,A203,Green_Star_Requests!$C$2:$C$501,B203,Green_Star_Requests!$J$2:$J$501,"อนุมัติ")</f>
        <v/>
      </c>
      <c r="F203" s="8">
        <f>D203+E203</f>
        <v/>
      </c>
      <c r="G203" s="8">
        <f>MAX(0,12-D203)</f>
        <v/>
      </c>
    </row>
    <row r="204">
      <c r="D204" s="8">
        <f>COUNTIFS(Attendance_Log!$C$2:$C$1001,A204,Attendance_Log!$D$2:$D$1001,B204,Attendance_Log!$O$2:$O$1001,"อนุมัติ",Attendance_Log!$K$2:$K$1001,"ผ่าน")</f>
        <v/>
      </c>
      <c r="E204" s="8">
        <f>SUMIFS(Green_Star_Requests!$H$2:$H$501,Green_Star_Requests!$B$2:$B$501,A204,Green_Star_Requests!$C$2:$C$501,B204,Green_Star_Requests!$J$2:$J$501,"อนุมัติ")</f>
        <v/>
      </c>
      <c r="F204" s="8">
        <f>D204+E204</f>
        <v/>
      </c>
      <c r="G204" s="8">
        <f>MAX(0,12-D204)</f>
        <v/>
      </c>
    </row>
    <row r="205">
      <c r="D205" s="8">
        <f>COUNTIFS(Attendance_Log!$C$2:$C$1001,A205,Attendance_Log!$D$2:$D$1001,B205,Attendance_Log!$O$2:$O$1001,"อนุมัติ",Attendance_Log!$K$2:$K$1001,"ผ่าน")</f>
        <v/>
      </c>
      <c r="E205" s="8">
        <f>SUMIFS(Green_Star_Requests!$H$2:$H$501,Green_Star_Requests!$B$2:$B$501,A205,Green_Star_Requests!$C$2:$C$501,B205,Green_Star_Requests!$J$2:$J$501,"อนุมัติ")</f>
        <v/>
      </c>
      <c r="F205" s="8">
        <f>D205+E205</f>
        <v/>
      </c>
      <c r="G205" s="8">
        <f>MAX(0,12-D205)</f>
        <v/>
      </c>
    </row>
    <row r="206">
      <c r="D206" s="8">
        <f>COUNTIFS(Attendance_Log!$C$2:$C$1001,A206,Attendance_Log!$D$2:$D$1001,B206,Attendance_Log!$O$2:$O$1001,"อนุมัติ",Attendance_Log!$K$2:$K$1001,"ผ่าน")</f>
        <v/>
      </c>
      <c r="E206" s="8">
        <f>SUMIFS(Green_Star_Requests!$H$2:$H$501,Green_Star_Requests!$B$2:$B$501,A206,Green_Star_Requests!$C$2:$C$501,B206,Green_Star_Requests!$J$2:$J$501,"อนุมัติ")</f>
        <v/>
      </c>
      <c r="F206" s="8">
        <f>D206+E206</f>
        <v/>
      </c>
      <c r="G206" s="8">
        <f>MAX(0,12-D206)</f>
        <v/>
      </c>
    </row>
    <row r="207">
      <c r="D207" s="8">
        <f>COUNTIFS(Attendance_Log!$C$2:$C$1001,A207,Attendance_Log!$D$2:$D$1001,B207,Attendance_Log!$O$2:$O$1001,"อนุมัติ",Attendance_Log!$K$2:$K$1001,"ผ่าน")</f>
        <v/>
      </c>
      <c r="E207" s="8">
        <f>SUMIFS(Green_Star_Requests!$H$2:$H$501,Green_Star_Requests!$B$2:$B$501,A207,Green_Star_Requests!$C$2:$C$501,B207,Green_Star_Requests!$J$2:$J$501,"อนุมัติ")</f>
        <v/>
      </c>
      <c r="F207" s="8">
        <f>D207+E207</f>
        <v/>
      </c>
      <c r="G207" s="8">
        <f>MAX(0,12-D207)</f>
        <v/>
      </c>
    </row>
    <row r="208">
      <c r="D208" s="8">
        <f>COUNTIFS(Attendance_Log!$C$2:$C$1001,A208,Attendance_Log!$D$2:$D$1001,B208,Attendance_Log!$O$2:$O$1001,"อนุมัติ",Attendance_Log!$K$2:$K$1001,"ผ่าน")</f>
        <v/>
      </c>
      <c r="E208" s="8">
        <f>SUMIFS(Green_Star_Requests!$H$2:$H$501,Green_Star_Requests!$B$2:$B$501,A208,Green_Star_Requests!$C$2:$C$501,B208,Green_Star_Requests!$J$2:$J$501,"อนุมัติ")</f>
        <v/>
      </c>
      <c r="F208" s="8">
        <f>D208+E208</f>
        <v/>
      </c>
      <c r="G208" s="8">
        <f>MAX(0,12-D208)</f>
        <v/>
      </c>
    </row>
    <row r="209">
      <c r="D209" s="8">
        <f>COUNTIFS(Attendance_Log!$C$2:$C$1001,A209,Attendance_Log!$D$2:$D$1001,B209,Attendance_Log!$O$2:$O$1001,"อนุมัติ",Attendance_Log!$K$2:$K$1001,"ผ่าน")</f>
        <v/>
      </c>
      <c r="E209" s="8">
        <f>SUMIFS(Green_Star_Requests!$H$2:$H$501,Green_Star_Requests!$B$2:$B$501,A209,Green_Star_Requests!$C$2:$C$501,B209,Green_Star_Requests!$J$2:$J$501,"อนุมัติ")</f>
        <v/>
      </c>
      <c r="F209" s="8">
        <f>D209+E209</f>
        <v/>
      </c>
      <c r="G209" s="8">
        <f>MAX(0,12-D209)</f>
        <v/>
      </c>
    </row>
    <row r="210">
      <c r="D210" s="8">
        <f>COUNTIFS(Attendance_Log!$C$2:$C$1001,A210,Attendance_Log!$D$2:$D$1001,B210,Attendance_Log!$O$2:$O$1001,"อนุมัติ",Attendance_Log!$K$2:$K$1001,"ผ่าน")</f>
        <v/>
      </c>
      <c r="E210" s="8">
        <f>SUMIFS(Green_Star_Requests!$H$2:$H$501,Green_Star_Requests!$B$2:$B$501,A210,Green_Star_Requests!$C$2:$C$501,B210,Green_Star_Requests!$J$2:$J$501,"อนุมัติ")</f>
        <v/>
      </c>
      <c r="F210" s="8">
        <f>D210+E210</f>
        <v/>
      </c>
      <c r="G210" s="8">
        <f>MAX(0,12-D210)</f>
        <v/>
      </c>
    </row>
    <row r="211">
      <c r="D211" s="8">
        <f>COUNTIFS(Attendance_Log!$C$2:$C$1001,A211,Attendance_Log!$D$2:$D$1001,B211,Attendance_Log!$O$2:$O$1001,"อนุมัติ",Attendance_Log!$K$2:$K$1001,"ผ่าน")</f>
        <v/>
      </c>
      <c r="E211" s="8">
        <f>SUMIFS(Green_Star_Requests!$H$2:$H$501,Green_Star_Requests!$B$2:$B$501,A211,Green_Star_Requests!$C$2:$C$501,B211,Green_Star_Requests!$J$2:$J$501,"อนุมัติ")</f>
        <v/>
      </c>
      <c r="F211" s="8">
        <f>D211+E211</f>
        <v/>
      </c>
      <c r="G211" s="8">
        <f>MAX(0,12-D211)</f>
        <v/>
      </c>
    </row>
    <row r="212">
      <c r="D212" s="8">
        <f>COUNTIFS(Attendance_Log!$C$2:$C$1001,A212,Attendance_Log!$D$2:$D$1001,B212,Attendance_Log!$O$2:$O$1001,"อนุมัติ",Attendance_Log!$K$2:$K$1001,"ผ่าน")</f>
        <v/>
      </c>
      <c r="E212" s="8">
        <f>SUMIFS(Green_Star_Requests!$H$2:$H$501,Green_Star_Requests!$B$2:$B$501,A212,Green_Star_Requests!$C$2:$C$501,B212,Green_Star_Requests!$J$2:$J$501,"อนุมัติ")</f>
        <v/>
      </c>
      <c r="F212" s="8">
        <f>D212+E212</f>
        <v/>
      </c>
      <c r="G212" s="8">
        <f>MAX(0,12-D212)</f>
        <v/>
      </c>
    </row>
    <row r="213">
      <c r="D213" s="8">
        <f>COUNTIFS(Attendance_Log!$C$2:$C$1001,A213,Attendance_Log!$D$2:$D$1001,B213,Attendance_Log!$O$2:$O$1001,"อนุมัติ",Attendance_Log!$K$2:$K$1001,"ผ่าน")</f>
        <v/>
      </c>
      <c r="E213" s="8">
        <f>SUMIFS(Green_Star_Requests!$H$2:$H$501,Green_Star_Requests!$B$2:$B$501,A213,Green_Star_Requests!$C$2:$C$501,B213,Green_Star_Requests!$J$2:$J$501,"อนุมัติ")</f>
        <v/>
      </c>
      <c r="F213" s="8">
        <f>D213+E213</f>
        <v/>
      </c>
      <c r="G213" s="8">
        <f>MAX(0,12-D213)</f>
        <v/>
      </c>
    </row>
    <row r="214">
      <c r="D214" s="8">
        <f>COUNTIFS(Attendance_Log!$C$2:$C$1001,A214,Attendance_Log!$D$2:$D$1001,B214,Attendance_Log!$O$2:$O$1001,"อนุมัติ",Attendance_Log!$K$2:$K$1001,"ผ่าน")</f>
        <v/>
      </c>
      <c r="E214" s="8">
        <f>SUMIFS(Green_Star_Requests!$H$2:$H$501,Green_Star_Requests!$B$2:$B$501,A214,Green_Star_Requests!$C$2:$C$501,B214,Green_Star_Requests!$J$2:$J$501,"อนุมัติ")</f>
        <v/>
      </c>
      <c r="F214" s="8">
        <f>D214+E214</f>
        <v/>
      </c>
      <c r="G214" s="8">
        <f>MAX(0,12-D214)</f>
        <v/>
      </c>
    </row>
    <row r="215">
      <c r="D215" s="8">
        <f>COUNTIFS(Attendance_Log!$C$2:$C$1001,A215,Attendance_Log!$D$2:$D$1001,B215,Attendance_Log!$O$2:$O$1001,"อนุมัติ",Attendance_Log!$K$2:$K$1001,"ผ่าน")</f>
        <v/>
      </c>
      <c r="E215" s="8">
        <f>SUMIFS(Green_Star_Requests!$H$2:$H$501,Green_Star_Requests!$B$2:$B$501,A215,Green_Star_Requests!$C$2:$C$501,B215,Green_Star_Requests!$J$2:$J$501,"อนุมัติ")</f>
        <v/>
      </c>
      <c r="F215" s="8">
        <f>D215+E215</f>
        <v/>
      </c>
      <c r="G215" s="8">
        <f>MAX(0,12-D215)</f>
        <v/>
      </c>
    </row>
    <row r="216">
      <c r="D216" s="8">
        <f>COUNTIFS(Attendance_Log!$C$2:$C$1001,A216,Attendance_Log!$D$2:$D$1001,B216,Attendance_Log!$O$2:$O$1001,"อนุมัติ",Attendance_Log!$K$2:$K$1001,"ผ่าน")</f>
        <v/>
      </c>
      <c r="E216" s="8">
        <f>SUMIFS(Green_Star_Requests!$H$2:$H$501,Green_Star_Requests!$B$2:$B$501,A216,Green_Star_Requests!$C$2:$C$501,B216,Green_Star_Requests!$J$2:$J$501,"อนุมัติ")</f>
        <v/>
      </c>
      <c r="F216" s="8">
        <f>D216+E216</f>
        <v/>
      </c>
      <c r="G216" s="8">
        <f>MAX(0,12-D216)</f>
        <v/>
      </c>
    </row>
    <row r="217">
      <c r="D217" s="8">
        <f>COUNTIFS(Attendance_Log!$C$2:$C$1001,A217,Attendance_Log!$D$2:$D$1001,B217,Attendance_Log!$O$2:$O$1001,"อนุมัติ",Attendance_Log!$K$2:$K$1001,"ผ่าน")</f>
        <v/>
      </c>
      <c r="E217" s="8">
        <f>SUMIFS(Green_Star_Requests!$H$2:$H$501,Green_Star_Requests!$B$2:$B$501,A217,Green_Star_Requests!$C$2:$C$501,B217,Green_Star_Requests!$J$2:$J$501,"อนุมัติ")</f>
        <v/>
      </c>
      <c r="F217" s="8">
        <f>D217+E217</f>
        <v/>
      </c>
      <c r="G217" s="8">
        <f>MAX(0,12-D217)</f>
        <v/>
      </c>
    </row>
    <row r="218">
      <c r="D218" s="8">
        <f>COUNTIFS(Attendance_Log!$C$2:$C$1001,A218,Attendance_Log!$D$2:$D$1001,B218,Attendance_Log!$O$2:$O$1001,"อนุมัติ",Attendance_Log!$K$2:$K$1001,"ผ่าน")</f>
        <v/>
      </c>
      <c r="E218" s="8">
        <f>SUMIFS(Green_Star_Requests!$H$2:$H$501,Green_Star_Requests!$B$2:$B$501,A218,Green_Star_Requests!$C$2:$C$501,B218,Green_Star_Requests!$J$2:$J$501,"อนุมัติ")</f>
        <v/>
      </c>
      <c r="F218" s="8">
        <f>D218+E218</f>
        <v/>
      </c>
      <c r="G218" s="8">
        <f>MAX(0,12-D218)</f>
        <v/>
      </c>
    </row>
    <row r="219">
      <c r="D219" s="8">
        <f>COUNTIFS(Attendance_Log!$C$2:$C$1001,A219,Attendance_Log!$D$2:$D$1001,B219,Attendance_Log!$O$2:$O$1001,"อนุมัติ",Attendance_Log!$K$2:$K$1001,"ผ่าน")</f>
        <v/>
      </c>
      <c r="E219" s="8">
        <f>SUMIFS(Green_Star_Requests!$H$2:$H$501,Green_Star_Requests!$B$2:$B$501,A219,Green_Star_Requests!$C$2:$C$501,B219,Green_Star_Requests!$J$2:$J$501,"อนุมัติ")</f>
        <v/>
      </c>
      <c r="F219" s="8">
        <f>D219+E219</f>
        <v/>
      </c>
      <c r="G219" s="8">
        <f>MAX(0,12-D219)</f>
        <v/>
      </c>
    </row>
    <row r="220">
      <c r="D220" s="8">
        <f>COUNTIFS(Attendance_Log!$C$2:$C$1001,A220,Attendance_Log!$D$2:$D$1001,B220,Attendance_Log!$O$2:$O$1001,"อนุมัติ",Attendance_Log!$K$2:$K$1001,"ผ่าน")</f>
        <v/>
      </c>
      <c r="E220" s="8">
        <f>SUMIFS(Green_Star_Requests!$H$2:$H$501,Green_Star_Requests!$B$2:$B$501,A220,Green_Star_Requests!$C$2:$C$501,B220,Green_Star_Requests!$J$2:$J$501,"อนุมัติ")</f>
        <v/>
      </c>
      <c r="F220" s="8">
        <f>D220+E220</f>
        <v/>
      </c>
      <c r="G220" s="8">
        <f>MAX(0,12-D220)</f>
        <v/>
      </c>
    </row>
    <row r="221">
      <c r="D221" s="8">
        <f>COUNTIFS(Attendance_Log!$C$2:$C$1001,A221,Attendance_Log!$D$2:$D$1001,B221,Attendance_Log!$O$2:$O$1001,"อนุมัติ",Attendance_Log!$K$2:$K$1001,"ผ่าน")</f>
        <v/>
      </c>
      <c r="E221" s="8">
        <f>SUMIFS(Green_Star_Requests!$H$2:$H$501,Green_Star_Requests!$B$2:$B$501,A221,Green_Star_Requests!$C$2:$C$501,B221,Green_Star_Requests!$J$2:$J$501,"อนุมัติ")</f>
        <v/>
      </c>
      <c r="F221" s="8">
        <f>D221+E221</f>
        <v/>
      </c>
      <c r="G221" s="8">
        <f>MAX(0,12-D221)</f>
        <v/>
      </c>
    </row>
    <row r="222">
      <c r="D222" s="8">
        <f>COUNTIFS(Attendance_Log!$C$2:$C$1001,A222,Attendance_Log!$D$2:$D$1001,B222,Attendance_Log!$O$2:$O$1001,"อนุมัติ",Attendance_Log!$K$2:$K$1001,"ผ่าน")</f>
        <v/>
      </c>
      <c r="E222" s="8">
        <f>SUMIFS(Green_Star_Requests!$H$2:$H$501,Green_Star_Requests!$B$2:$B$501,A222,Green_Star_Requests!$C$2:$C$501,B222,Green_Star_Requests!$J$2:$J$501,"อนุมัติ")</f>
        <v/>
      </c>
      <c r="F222" s="8">
        <f>D222+E222</f>
        <v/>
      </c>
      <c r="G222" s="8">
        <f>MAX(0,12-D222)</f>
        <v/>
      </c>
    </row>
    <row r="223">
      <c r="D223" s="8">
        <f>COUNTIFS(Attendance_Log!$C$2:$C$1001,A223,Attendance_Log!$D$2:$D$1001,B223,Attendance_Log!$O$2:$O$1001,"อนุมัติ",Attendance_Log!$K$2:$K$1001,"ผ่าน")</f>
        <v/>
      </c>
      <c r="E223" s="8">
        <f>SUMIFS(Green_Star_Requests!$H$2:$H$501,Green_Star_Requests!$B$2:$B$501,A223,Green_Star_Requests!$C$2:$C$501,B223,Green_Star_Requests!$J$2:$J$501,"อนุมัติ")</f>
        <v/>
      </c>
      <c r="F223" s="8">
        <f>D223+E223</f>
        <v/>
      </c>
      <c r="G223" s="8">
        <f>MAX(0,12-D223)</f>
        <v/>
      </c>
    </row>
    <row r="224">
      <c r="D224" s="8">
        <f>COUNTIFS(Attendance_Log!$C$2:$C$1001,A224,Attendance_Log!$D$2:$D$1001,B224,Attendance_Log!$O$2:$O$1001,"อนุมัติ",Attendance_Log!$K$2:$K$1001,"ผ่าน")</f>
        <v/>
      </c>
      <c r="E224" s="8">
        <f>SUMIFS(Green_Star_Requests!$H$2:$H$501,Green_Star_Requests!$B$2:$B$501,A224,Green_Star_Requests!$C$2:$C$501,B224,Green_Star_Requests!$J$2:$J$501,"อนุมัติ")</f>
        <v/>
      </c>
      <c r="F224" s="8">
        <f>D224+E224</f>
        <v/>
      </c>
      <c r="G224" s="8">
        <f>MAX(0,12-D224)</f>
        <v/>
      </c>
    </row>
    <row r="225">
      <c r="D225" s="8">
        <f>COUNTIFS(Attendance_Log!$C$2:$C$1001,A225,Attendance_Log!$D$2:$D$1001,B225,Attendance_Log!$O$2:$O$1001,"อนุมัติ",Attendance_Log!$K$2:$K$1001,"ผ่าน")</f>
        <v/>
      </c>
      <c r="E225" s="8">
        <f>SUMIFS(Green_Star_Requests!$H$2:$H$501,Green_Star_Requests!$B$2:$B$501,A225,Green_Star_Requests!$C$2:$C$501,B225,Green_Star_Requests!$J$2:$J$501,"อนุมัติ")</f>
        <v/>
      </c>
      <c r="F225" s="8">
        <f>D225+E225</f>
        <v/>
      </c>
      <c r="G225" s="8">
        <f>MAX(0,12-D225)</f>
        <v/>
      </c>
    </row>
    <row r="226">
      <c r="D226" s="8">
        <f>COUNTIFS(Attendance_Log!$C$2:$C$1001,A226,Attendance_Log!$D$2:$D$1001,B226,Attendance_Log!$O$2:$O$1001,"อนุมัติ",Attendance_Log!$K$2:$K$1001,"ผ่าน")</f>
        <v/>
      </c>
      <c r="E226" s="8">
        <f>SUMIFS(Green_Star_Requests!$H$2:$H$501,Green_Star_Requests!$B$2:$B$501,A226,Green_Star_Requests!$C$2:$C$501,B226,Green_Star_Requests!$J$2:$J$501,"อนุมัติ")</f>
        <v/>
      </c>
      <c r="F226" s="8">
        <f>D226+E226</f>
        <v/>
      </c>
      <c r="G226" s="8">
        <f>MAX(0,12-D226)</f>
        <v/>
      </c>
    </row>
    <row r="227">
      <c r="D227" s="8">
        <f>COUNTIFS(Attendance_Log!$C$2:$C$1001,A227,Attendance_Log!$D$2:$D$1001,B227,Attendance_Log!$O$2:$O$1001,"อนุมัติ",Attendance_Log!$K$2:$K$1001,"ผ่าน")</f>
        <v/>
      </c>
      <c r="E227" s="8">
        <f>SUMIFS(Green_Star_Requests!$H$2:$H$501,Green_Star_Requests!$B$2:$B$501,A227,Green_Star_Requests!$C$2:$C$501,B227,Green_Star_Requests!$J$2:$J$501,"อนุมัติ")</f>
        <v/>
      </c>
      <c r="F227" s="8">
        <f>D227+E227</f>
        <v/>
      </c>
      <c r="G227" s="8">
        <f>MAX(0,12-D227)</f>
        <v/>
      </c>
    </row>
    <row r="228">
      <c r="D228" s="8">
        <f>COUNTIFS(Attendance_Log!$C$2:$C$1001,A228,Attendance_Log!$D$2:$D$1001,B228,Attendance_Log!$O$2:$O$1001,"อนุมัติ",Attendance_Log!$K$2:$K$1001,"ผ่าน")</f>
        <v/>
      </c>
      <c r="E228" s="8">
        <f>SUMIFS(Green_Star_Requests!$H$2:$H$501,Green_Star_Requests!$B$2:$B$501,A228,Green_Star_Requests!$C$2:$C$501,B228,Green_Star_Requests!$J$2:$J$501,"อนุมัติ")</f>
        <v/>
      </c>
      <c r="F228" s="8">
        <f>D228+E228</f>
        <v/>
      </c>
      <c r="G228" s="8">
        <f>MAX(0,12-D228)</f>
        <v/>
      </c>
    </row>
    <row r="229">
      <c r="D229" s="8">
        <f>COUNTIFS(Attendance_Log!$C$2:$C$1001,A229,Attendance_Log!$D$2:$D$1001,B229,Attendance_Log!$O$2:$O$1001,"อนุมัติ",Attendance_Log!$K$2:$K$1001,"ผ่าน")</f>
        <v/>
      </c>
      <c r="E229" s="8">
        <f>SUMIFS(Green_Star_Requests!$H$2:$H$501,Green_Star_Requests!$B$2:$B$501,A229,Green_Star_Requests!$C$2:$C$501,B229,Green_Star_Requests!$J$2:$J$501,"อนุมัติ")</f>
        <v/>
      </c>
      <c r="F229" s="8">
        <f>D229+E229</f>
        <v/>
      </c>
      <c r="G229" s="8">
        <f>MAX(0,12-D229)</f>
        <v/>
      </c>
    </row>
    <row r="230">
      <c r="D230" s="8">
        <f>COUNTIFS(Attendance_Log!$C$2:$C$1001,A230,Attendance_Log!$D$2:$D$1001,B230,Attendance_Log!$O$2:$O$1001,"อนุมัติ",Attendance_Log!$K$2:$K$1001,"ผ่าน")</f>
        <v/>
      </c>
      <c r="E230" s="8">
        <f>SUMIFS(Green_Star_Requests!$H$2:$H$501,Green_Star_Requests!$B$2:$B$501,A230,Green_Star_Requests!$C$2:$C$501,B230,Green_Star_Requests!$J$2:$J$501,"อนุมัติ")</f>
        <v/>
      </c>
      <c r="F230" s="8">
        <f>D230+E230</f>
        <v/>
      </c>
      <c r="G230" s="8">
        <f>MAX(0,12-D230)</f>
        <v/>
      </c>
    </row>
    <row r="231">
      <c r="D231" s="8">
        <f>COUNTIFS(Attendance_Log!$C$2:$C$1001,A231,Attendance_Log!$D$2:$D$1001,B231,Attendance_Log!$O$2:$O$1001,"อนุมัติ",Attendance_Log!$K$2:$K$1001,"ผ่าน")</f>
        <v/>
      </c>
      <c r="E231" s="8">
        <f>SUMIFS(Green_Star_Requests!$H$2:$H$501,Green_Star_Requests!$B$2:$B$501,A231,Green_Star_Requests!$C$2:$C$501,B231,Green_Star_Requests!$J$2:$J$501,"อนุมัติ")</f>
        <v/>
      </c>
      <c r="F231" s="8">
        <f>D231+E231</f>
        <v/>
      </c>
      <c r="G231" s="8">
        <f>MAX(0,12-D231)</f>
        <v/>
      </c>
    </row>
    <row r="232">
      <c r="D232" s="8">
        <f>COUNTIFS(Attendance_Log!$C$2:$C$1001,A232,Attendance_Log!$D$2:$D$1001,B232,Attendance_Log!$O$2:$O$1001,"อนุมัติ",Attendance_Log!$K$2:$K$1001,"ผ่าน")</f>
        <v/>
      </c>
      <c r="E232" s="8">
        <f>SUMIFS(Green_Star_Requests!$H$2:$H$501,Green_Star_Requests!$B$2:$B$501,A232,Green_Star_Requests!$C$2:$C$501,B232,Green_Star_Requests!$J$2:$J$501,"อนุมัติ")</f>
        <v/>
      </c>
      <c r="F232" s="8">
        <f>D232+E232</f>
        <v/>
      </c>
      <c r="G232" s="8">
        <f>MAX(0,12-D232)</f>
        <v/>
      </c>
    </row>
    <row r="233">
      <c r="D233" s="8">
        <f>COUNTIFS(Attendance_Log!$C$2:$C$1001,A233,Attendance_Log!$D$2:$D$1001,B233,Attendance_Log!$O$2:$O$1001,"อนุมัติ",Attendance_Log!$K$2:$K$1001,"ผ่าน")</f>
        <v/>
      </c>
      <c r="E233" s="8">
        <f>SUMIFS(Green_Star_Requests!$H$2:$H$501,Green_Star_Requests!$B$2:$B$501,A233,Green_Star_Requests!$C$2:$C$501,B233,Green_Star_Requests!$J$2:$J$501,"อนุมัติ")</f>
        <v/>
      </c>
      <c r="F233" s="8">
        <f>D233+E233</f>
        <v/>
      </c>
      <c r="G233" s="8">
        <f>MAX(0,12-D233)</f>
        <v/>
      </c>
    </row>
    <row r="234">
      <c r="D234" s="8">
        <f>COUNTIFS(Attendance_Log!$C$2:$C$1001,A234,Attendance_Log!$D$2:$D$1001,B234,Attendance_Log!$O$2:$O$1001,"อนุมัติ",Attendance_Log!$K$2:$K$1001,"ผ่าน")</f>
        <v/>
      </c>
      <c r="E234" s="8">
        <f>SUMIFS(Green_Star_Requests!$H$2:$H$501,Green_Star_Requests!$B$2:$B$501,A234,Green_Star_Requests!$C$2:$C$501,B234,Green_Star_Requests!$J$2:$J$501,"อนุมัติ")</f>
        <v/>
      </c>
      <c r="F234" s="8">
        <f>D234+E234</f>
        <v/>
      </c>
      <c r="G234" s="8">
        <f>MAX(0,12-D234)</f>
        <v/>
      </c>
    </row>
    <row r="235">
      <c r="D235" s="8">
        <f>COUNTIFS(Attendance_Log!$C$2:$C$1001,A235,Attendance_Log!$D$2:$D$1001,B235,Attendance_Log!$O$2:$O$1001,"อนุมัติ",Attendance_Log!$K$2:$K$1001,"ผ่าน")</f>
        <v/>
      </c>
      <c r="E235" s="8">
        <f>SUMIFS(Green_Star_Requests!$H$2:$H$501,Green_Star_Requests!$B$2:$B$501,A235,Green_Star_Requests!$C$2:$C$501,B235,Green_Star_Requests!$J$2:$J$501,"อนุมัติ")</f>
        <v/>
      </c>
      <c r="F235" s="8">
        <f>D235+E235</f>
        <v/>
      </c>
      <c r="G235" s="8">
        <f>MAX(0,12-D235)</f>
        <v/>
      </c>
    </row>
    <row r="236">
      <c r="D236" s="8">
        <f>COUNTIFS(Attendance_Log!$C$2:$C$1001,A236,Attendance_Log!$D$2:$D$1001,B236,Attendance_Log!$O$2:$O$1001,"อนุมัติ",Attendance_Log!$K$2:$K$1001,"ผ่าน")</f>
        <v/>
      </c>
      <c r="E236" s="8">
        <f>SUMIFS(Green_Star_Requests!$H$2:$H$501,Green_Star_Requests!$B$2:$B$501,A236,Green_Star_Requests!$C$2:$C$501,B236,Green_Star_Requests!$J$2:$J$501,"อนุมัติ")</f>
        <v/>
      </c>
      <c r="F236" s="8">
        <f>D236+E236</f>
        <v/>
      </c>
      <c r="G236" s="8">
        <f>MAX(0,12-D236)</f>
        <v/>
      </c>
    </row>
    <row r="237">
      <c r="D237" s="8">
        <f>COUNTIFS(Attendance_Log!$C$2:$C$1001,A237,Attendance_Log!$D$2:$D$1001,B237,Attendance_Log!$O$2:$O$1001,"อนุมัติ",Attendance_Log!$K$2:$K$1001,"ผ่าน")</f>
        <v/>
      </c>
      <c r="E237" s="8">
        <f>SUMIFS(Green_Star_Requests!$H$2:$H$501,Green_Star_Requests!$B$2:$B$501,A237,Green_Star_Requests!$C$2:$C$501,B237,Green_Star_Requests!$J$2:$J$501,"อนุมัติ")</f>
        <v/>
      </c>
      <c r="F237" s="8">
        <f>D237+E237</f>
        <v/>
      </c>
      <c r="G237" s="8">
        <f>MAX(0,12-D237)</f>
        <v/>
      </c>
    </row>
    <row r="238">
      <c r="D238" s="8">
        <f>COUNTIFS(Attendance_Log!$C$2:$C$1001,A238,Attendance_Log!$D$2:$D$1001,B238,Attendance_Log!$O$2:$O$1001,"อนุมัติ",Attendance_Log!$K$2:$K$1001,"ผ่าน")</f>
        <v/>
      </c>
      <c r="E238" s="8">
        <f>SUMIFS(Green_Star_Requests!$H$2:$H$501,Green_Star_Requests!$B$2:$B$501,A238,Green_Star_Requests!$C$2:$C$501,B238,Green_Star_Requests!$J$2:$J$501,"อนุมัติ")</f>
        <v/>
      </c>
      <c r="F238" s="8">
        <f>D238+E238</f>
        <v/>
      </c>
      <c r="G238" s="8">
        <f>MAX(0,12-D238)</f>
        <v/>
      </c>
    </row>
    <row r="239">
      <c r="D239" s="8">
        <f>COUNTIFS(Attendance_Log!$C$2:$C$1001,A239,Attendance_Log!$D$2:$D$1001,B239,Attendance_Log!$O$2:$O$1001,"อนุมัติ",Attendance_Log!$K$2:$K$1001,"ผ่าน")</f>
        <v/>
      </c>
      <c r="E239" s="8">
        <f>SUMIFS(Green_Star_Requests!$H$2:$H$501,Green_Star_Requests!$B$2:$B$501,A239,Green_Star_Requests!$C$2:$C$501,B239,Green_Star_Requests!$J$2:$J$501,"อนุมัติ")</f>
        <v/>
      </c>
      <c r="F239" s="8">
        <f>D239+E239</f>
        <v/>
      </c>
      <c r="G239" s="8">
        <f>MAX(0,12-D239)</f>
        <v/>
      </c>
    </row>
    <row r="240">
      <c r="D240" s="8">
        <f>COUNTIFS(Attendance_Log!$C$2:$C$1001,A240,Attendance_Log!$D$2:$D$1001,B240,Attendance_Log!$O$2:$O$1001,"อนุมัติ",Attendance_Log!$K$2:$K$1001,"ผ่าน")</f>
        <v/>
      </c>
      <c r="E240" s="8">
        <f>SUMIFS(Green_Star_Requests!$H$2:$H$501,Green_Star_Requests!$B$2:$B$501,A240,Green_Star_Requests!$C$2:$C$501,B240,Green_Star_Requests!$J$2:$J$501,"อนุมัติ")</f>
        <v/>
      </c>
      <c r="F240" s="8">
        <f>D240+E240</f>
        <v/>
      </c>
      <c r="G240" s="8">
        <f>MAX(0,12-D240)</f>
        <v/>
      </c>
    </row>
    <row r="241">
      <c r="D241" s="8">
        <f>COUNTIFS(Attendance_Log!$C$2:$C$1001,A241,Attendance_Log!$D$2:$D$1001,B241,Attendance_Log!$O$2:$O$1001,"อนุมัติ",Attendance_Log!$K$2:$K$1001,"ผ่าน")</f>
        <v/>
      </c>
      <c r="E241" s="8">
        <f>SUMIFS(Green_Star_Requests!$H$2:$H$501,Green_Star_Requests!$B$2:$B$501,A241,Green_Star_Requests!$C$2:$C$501,B241,Green_Star_Requests!$J$2:$J$501,"อนุมัติ")</f>
        <v/>
      </c>
      <c r="F241" s="8">
        <f>D241+E241</f>
        <v/>
      </c>
      <c r="G241" s="8">
        <f>MAX(0,12-D241)</f>
        <v/>
      </c>
    </row>
    <row r="242">
      <c r="D242" s="8">
        <f>COUNTIFS(Attendance_Log!$C$2:$C$1001,A242,Attendance_Log!$D$2:$D$1001,B242,Attendance_Log!$O$2:$O$1001,"อนุมัติ",Attendance_Log!$K$2:$K$1001,"ผ่าน")</f>
        <v/>
      </c>
      <c r="E242" s="8">
        <f>SUMIFS(Green_Star_Requests!$H$2:$H$501,Green_Star_Requests!$B$2:$B$501,A242,Green_Star_Requests!$C$2:$C$501,B242,Green_Star_Requests!$J$2:$J$501,"อนุมัติ")</f>
        <v/>
      </c>
      <c r="F242" s="8">
        <f>D242+E242</f>
        <v/>
      </c>
      <c r="G242" s="8">
        <f>MAX(0,12-D242)</f>
        <v/>
      </c>
    </row>
    <row r="243">
      <c r="D243" s="8">
        <f>COUNTIFS(Attendance_Log!$C$2:$C$1001,A243,Attendance_Log!$D$2:$D$1001,B243,Attendance_Log!$O$2:$O$1001,"อนุมัติ",Attendance_Log!$K$2:$K$1001,"ผ่าน")</f>
        <v/>
      </c>
      <c r="E243" s="8">
        <f>SUMIFS(Green_Star_Requests!$H$2:$H$501,Green_Star_Requests!$B$2:$B$501,A243,Green_Star_Requests!$C$2:$C$501,B243,Green_Star_Requests!$J$2:$J$501,"อนุมัติ")</f>
        <v/>
      </c>
      <c r="F243" s="8">
        <f>D243+E243</f>
        <v/>
      </c>
      <c r="G243" s="8">
        <f>MAX(0,12-D243)</f>
        <v/>
      </c>
    </row>
    <row r="244">
      <c r="D244" s="8">
        <f>COUNTIFS(Attendance_Log!$C$2:$C$1001,A244,Attendance_Log!$D$2:$D$1001,B244,Attendance_Log!$O$2:$O$1001,"อนุมัติ",Attendance_Log!$K$2:$K$1001,"ผ่าน")</f>
        <v/>
      </c>
      <c r="E244" s="8">
        <f>SUMIFS(Green_Star_Requests!$H$2:$H$501,Green_Star_Requests!$B$2:$B$501,A244,Green_Star_Requests!$C$2:$C$501,B244,Green_Star_Requests!$J$2:$J$501,"อนุมัติ")</f>
        <v/>
      </c>
      <c r="F244" s="8">
        <f>D244+E244</f>
        <v/>
      </c>
      <c r="G244" s="8">
        <f>MAX(0,12-D244)</f>
        <v/>
      </c>
    </row>
    <row r="245">
      <c r="D245" s="8">
        <f>COUNTIFS(Attendance_Log!$C$2:$C$1001,A245,Attendance_Log!$D$2:$D$1001,B245,Attendance_Log!$O$2:$O$1001,"อนุมัติ",Attendance_Log!$K$2:$K$1001,"ผ่าน")</f>
        <v/>
      </c>
      <c r="E245" s="8">
        <f>SUMIFS(Green_Star_Requests!$H$2:$H$501,Green_Star_Requests!$B$2:$B$501,A245,Green_Star_Requests!$C$2:$C$501,B245,Green_Star_Requests!$J$2:$J$501,"อนุมัติ")</f>
        <v/>
      </c>
      <c r="F245" s="8">
        <f>D245+E245</f>
        <v/>
      </c>
      <c r="G245" s="8">
        <f>MAX(0,12-D245)</f>
        <v/>
      </c>
    </row>
    <row r="246">
      <c r="D246" s="8">
        <f>COUNTIFS(Attendance_Log!$C$2:$C$1001,A246,Attendance_Log!$D$2:$D$1001,B246,Attendance_Log!$O$2:$O$1001,"อนุมัติ",Attendance_Log!$K$2:$K$1001,"ผ่าน")</f>
        <v/>
      </c>
      <c r="E246" s="8">
        <f>SUMIFS(Green_Star_Requests!$H$2:$H$501,Green_Star_Requests!$B$2:$B$501,A246,Green_Star_Requests!$C$2:$C$501,B246,Green_Star_Requests!$J$2:$J$501,"อนุมัติ")</f>
        <v/>
      </c>
      <c r="F246" s="8">
        <f>D246+E246</f>
        <v/>
      </c>
      <c r="G246" s="8">
        <f>MAX(0,12-D246)</f>
        <v/>
      </c>
    </row>
    <row r="247">
      <c r="D247" s="8">
        <f>COUNTIFS(Attendance_Log!$C$2:$C$1001,A247,Attendance_Log!$D$2:$D$1001,B247,Attendance_Log!$O$2:$O$1001,"อนุมัติ",Attendance_Log!$K$2:$K$1001,"ผ่าน")</f>
        <v/>
      </c>
      <c r="E247" s="8">
        <f>SUMIFS(Green_Star_Requests!$H$2:$H$501,Green_Star_Requests!$B$2:$B$501,A247,Green_Star_Requests!$C$2:$C$501,B247,Green_Star_Requests!$J$2:$J$501,"อนุมัติ")</f>
        <v/>
      </c>
      <c r="F247" s="8">
        <f>D247+E247</f>
        <v/>
      </c>
      <c r="G247" s="8">
        <f>MAX(0,12-D247)</f>
        <v/>
      </c>
    </row>
    <row r="248">
      <c r="D248" s="8">
        <f>COUNTIFS(Attendance_Log!$C$2:$C$1001,A248,Attendance_Log!$D$2:$D$1001,B248,Attendance_Log!$O$2:$O$1001,"อนุมัติ",Attendance_Log!$K$2:$K$1001,"ผ่าน")</f>
        <v/>
      </c>
      <c r="E248" s="8">
        <f>SUMIFS(Green_Star_Requests!$H$2:$H$501,Green_Star_Requests!$B$2:$B$501,A248,Green_Star_Requests!$C$2:$C$501,B248,Green_Star_Requests!$J$2:$J$501,"อนุมัติ")</f>
        <v/>
      </c>
      <c r="F248" s="8">
        <f>D248+E248</f>
        <v/>
      </c>
      <c r="G248" s="8">
        <f>MAX(0,12-D248)</f>
        <v/>
      </c>
    </row>
    <row r="249">
      <c r="D249" s="8">
        <f>COUNTIFS(Attendance_Log!$C$2:$C$1001,A249,Attendance_Log!$D$2:$D$1001,B249,Attendance_Log!$O$2:$O$1001,"อนุมัติ",Attendance_Log!$K$2:$K$1001,"ผ่าน")</f>
        <v/>
      </c>
      <c r="E249" s="8">
        <f>SUMIFS(Green_Star_Requests!$H$2:$H$501,Green_Star_Requests!$B$2:$B$501,A249,Green_Star_Requests!$C$2:$C$501,B249,Green_Star_Requests!$J$2:$J$501,"อนุมัติ")</f>
        <v/>
      </c>
      <c r="F249" s="8">
        <f>D249+E249</f>
        <v/>
      </c>
      <c r="G249" s="8">
        <f>MAX(0,12-D249)</f>
        <v/>
      </c>
    </row>
    <row r="250">
      <c r="D250" s="8">
        <f>COUNTIFS(Attendance_Log!$C$2:$C$1001,A250,Attendance_Log!$D$2:$D$1001,B250,Attendance_Log!$O$2:$O$1001,"อนุมัติ",Attendance_Log!$K$2:$K$1001,"ผ่าน")</f>
        <v/>
      </c>
      <c r="E250" s="8">
        <f>SUMIFS(Green_Star_Requests!$H$2:$H$501,Green_Star_Requests!$B$2:$B$501,A250,Green_Star_Requests!$C$2:$C$501,B250,Green_Star_Requests!$J$2:$J$501,"อนุมัติ")</f>
        <v/>
      </c>
      <c r="F250" s="8">
        <f>D250+E250</f>
        <v/>
      </c>
      <c r="G250" s="8">
        <f>MAX(0,12-D250)</f>
        <v/>
      </c>
    </row>
    <row r="251">
      <c r="D251" s="8">
        <f>COUNTIFS(Attendance_Log!$C$2:$C$1001,A251,Attendance_Log!$D$2:$D$1001,B251,Attendance_Log!$O$2:$O$1001,"อนุมัติ",Attendance_Log!$K$2:$K$1001,"ผ่าน")</f>
        <v/>
      </c>
      <c r="E251" s="8">
        <f>SUMIFS(Green_Star_Requests!$H$2:$H$501,Green_Star_Requests!$B$2:$B$501,A251,Green_Star_Requests!$C$2:$C$501,B251,Green_Star_Requests!$J$2:$J$501,"อนุมัติ")</f>
        <v/>
      </c>
      <c r="F251" s="8">
        <f>D251+E251</f>
        <v/>
      </c>
      <c r="G251" s="8">
        <f>MAX(0,12-D251)</f>
        <v/>
      </c>
    </row>
    <row r="252">
      <c r="D252" s="8">
        <f>COUNTIFS(Attendance_Log!$C$2:$C$1001,A252,Attendance_Log!$D$2:$D$1001,B252,Attendance_Log!$O$2:$O$1001,"อนุมัติ",Attendance_Log!$K$2:$K$1001,"ผ่าน")</f>
        <v/>
      </c>
      <c r="E252" s="8">
        <f>SUMIFS(Green_Star_Requests!$H$2:$H$501,Green_Star_Requests!$B$2:$B$501,A252,Green_Star_Requests!$C$2:$C$501,B252,Green_Star_Requests!$J$2:$J$501,"อนุมัติ")</f>
        <v/>
      </c>
      <c r="F252" s="8">
        <f>D252+E252</f>
        <v/>
      </c>
      <c r="G252" s="8">
        <f>MAX(0,12-D252)</f>
        <v/>
      </c>
    </row>
    <row r="253">
      <c r="D253" s="8">
        <f>COUNTIFS(Attendance_Log!$C$2:$C$1001,A253,Attendance_Log!$D$2:$D$1001,B253,Attendance_Log!$O$2:$O$1001,"อนุมัติ",Attendance_Log!$K$2:$K$1001,"ผ่าน")</f>
        <v/>
      </c>
      <c r="E253" s="8">
        <f>SUMIFS(Green_Star_Requests!$H$2:$H$501,Green_Star_Requests!$B$2:$B$501,A253,Green_Star_Requests!$C$2:$C$501,B253,Green_Star_Requests!$J$2:$J$501,"อนุมัติ")</f>
        <v/>
      </c>
      <c r="F253" s="8">
        <f>D253+E253</f>
        <v/>
      </c>
      <c r="G253" s="8">
        <f>MAX(0,12-D253)</f>
        <v/>
      </c>
    </row>
    <row r="254">
      <c r="D254" s="8">
        <f>COUNTIFS(Attendance_Log!$C$2:$C$1001,A254,Attendance_Log!$D$2:$D$1001,B254,Attendance_Log!$O$2:$O$1001,"อนุมัติ",Attendance_Log!$K$2:$K$1001,"ผ่าน")</f>
        <v/>
      </c>
      <c r="E254" s="8">
        <f>SUMIFS(Green_Star_Requests!$H$2:$H$501,Green_Star_Requests!$B$2:$B$501,A254,Green_Star_Requests!$C$2:$C$501,B254,Green_Star_Requests!$J$2:$J$501,"อนุมัติ")</f>
        <v/>
      </c>
      <c r="F254" s="8">
        <f>D254+E254</f>
        <v/>
      </c>
      <c r="G254" s="8">
        <f>MAX(0,12-D254)</f>
        <v/>
      </c>
    </row>
    <row r="255">
      <c r="D255" s="8">
        <f>COUNTIFS(Attendance_Log!$C$2:$C$1001,A255,Attendance_Log!$D$2:$D$1001,B255,Attendance_Log!$O$2:$O$1001,"อนุมัติ",Attendance_Log!$K$2:$K$1001,"ผ่าน")</f>
        <v/>
      </c>
      <c r="E255" s="8">
        <f>SUMIFS(Green_Star_Requests!$H$2:$H$501,Green_Star_Requests!$B$2:$B$501,A255,Green_Star_Requests!$C$2:$C$501,B255,Green_Star_Requests!$J$2:$J$501,"อนุมัติ")</f>
        <v/>
      </c>
      <c r="F255" s="8">
        <f>D255+E255</f>
        <v/>
      </c>
      <c r="G255" s="8">
        <f>MAX(0,12-D255)</f>
        <v/>
      </c>
    </row>
    <row r="256">
      <c r="D256" s="8">
        <f>COUNTIFS(Attendance_Log!$C$2:$C$1001,A256,Attendance_Log!$D$2:$D$1001,B256,Attendance_Log!$O$2:$O$1001,"อนุมัติ",Attendance_Log!$K$2:$K$1001,"ผ่าน")</f>
        <v/>
      </c>
      <c r="E256" s="8">
        <f>SUMIFS(Green_Star_Requests!$H$2:$H$501,Green_Star_Requests!$B$2:$B$501,A256,Green_Star_Requests!$C$2:$C$501,B256,Green_Star_Requests!$J$2:$J$501,"อนุมัติ")</f>
        <v/>
      </c>
      <c r="F256" s="8">
        <f>D256+E256</f>
        <v/>
      </c>
      <c r="G256" s="8">
        <f>MAX(0,12-D256)</f>
        <v/>
      </c>
    </row>
    <row r="257">
      <c r="D257" s="8">
        <f>COUNTIFS(Attendance_Log!$C$2:$C$1001,A257,Attendance_Log!$D$2:$D$1001,B257,Attendance_Log!$O$2:$O$1001,"อนุมัติ",Attendance_Log!$K$2:$K$1001,"ผ่าน")</f>
        <v/>
      </c>
      <c r="E257" s="8">
        <f>SUMIFS(Green_Star_Requests!$H$2:$H$501,Green_Star_Requests!$B$2:$B$501,A257,Green_Star_Requests!$C$2:$C$501,B257,Green_Star_Requests!$J$2:$J$501,"อนุมัติ")</f>
        <v/>
      </c>
      <c r="F257" s="8">
        <f>D257+E257</f>
        <v/>
      </c>
      <c r="G257" s="8">
        <f>MAX(0,12-D257)</f>
        <v/>
      </c>
    </row>
    <row r="258">
      <c r="D258" s="8">
        <f>COUNTIFS(Attendance_Log!$C$2:$C$1001,A258,Attendance_Log!$D$2:$D$1001,B258,Attendance_Log!$O$2:$O$1001,"อนุมัติ",Attendance_Log!$K$2:$K$1001,"ผ่าน")</f>
        <v/>
      </c>
      <c r="E258" s="8">
        <f>SUMIFS(Green_Star_Requests!$H$2:$H$501,Green_Star_Requests!$B$2:$B$501,A258,Green_Star_Requests!$C$2:$C$501,B258,Green_Star_Requests!$J$2:$J$501,"อนุมัติ")</f>
        <v/>
      </c>
      <c r="F258" s="8">
        <f>D258+E258</f>
        <v/>
      </c>
      <c r="G258" s="8">
        <f>MAX(0,12-D258)</f>
        <v/>
      </c>
    </row>
    <row r="259">
      <c r="D259" s="8">
        <f>COUNTIFS(Attendance_Log!$C$2:$C$1001,A259,Attendance_Log!$D$2:$D$1001,B259,Attendance_Log!$O$2:$O$1001,"อนุมัติ",Attendance_Log!$K$2:$K$1001,"ผ่าน")</f>
        <v/>
      </c>
      <c r="E259" s="8">
        <f>SUMIFS(Green_Star_Requests!$H$2:$H$501,Green_Star_Requests!$B$2:$B$501,A259,Green_Star_Requests!$C$2:$C$501,B259,Green_Star_Requests!$J$2:$J$501,"อนุมัติ")</f>
        <v/>
      </c>
      <c r="F259" s="8">
        <f>D259+E259</f>
        <v/>
      </c>
      <c r="G259" s="8">
        <f>MAX(0,12-D259)</f>
        <v/>
      </c>
    </row>
    <row r="260">
      <c r="D260" s="8">
        <f>COUNTIFS(Attendance_Log!$C$2:$C$1001,A260,Attendance_Log!$D$2:$D$1001,B260,Attendance_Log!$O$2:$O$1001,"อนุมัติ",Attendance_Log!$K$2:$K$1001,"ผ่าน")</f>
        <v/>
      </c>
      <c r="E260" s="8">
        <f>SUMIFS(Green_Star_Requests!$H$2:$H$501,Green_Star_Requests!$B$2:$B$501,A260,Green_Star_Requests!$C$2:$C$501,B260,Green_Star_Requests!$J$2:$J$501,"อนุมัติ")</f>
        <v/>
      </c>
      <c r="F260" s="8">
        <f>D260+E260</f>
        <v/>
      </c>
      <c r="G260" s="8">
        <f>MAX(0,12-D260)</f>
        <v/>
      </c>
    </row>
    <row r="261">
      <c r="D261" s="8">
        <f>COUNTIFS(Attendance_Log!$C$2:$C$1001,A261,Attendance_Log!$D$2:$D$1001,B261,Attendance_Log!$O$2:$O$1001,"อนุมัติ",Attendance_Log!$K$2:$K$1001,"ผ่าน")</f>
        <v/>
      </c>
      <c r="E261" s="8">
        <f>SUMIFS(Green_Star_Requests!$H$2:$H$501,Green_Star_Requests!$B$2:$B$501,A261,Green_Star_Requests!$C$2:$C$501,B261,Green_Star_Requests!$J$2:$J$501,"อนุมัติ")</f>
        <v/>
      </c>
      <c r="F261" s="8">
        <f>D261+E261</f>
        <v/>
      </c>
      <c r="G261" s="8">
        <f>MAX(0,12-D261)</f>
        <v/>
      </c>
    </row>
    <row r="262">
      <c r="D262" s="8">
        <f>COUNTIFS(Attendance_Log!$C$2:$C$1001,A262,Attendance_Log!$D$2:$D$1001,B262,Attendance_Log!$O$2:$O$1001,"อนุมัติ",Attendance_Log!$K$2:$K$1001,"ผ่าน")</f>
        <v/>
      </c>
      <c r="E262" s="8">
        <f>SUMIFS(Green_Star_Requests!$H$2:$H$501,Green_Star_Requests!$B$2:$B$501,A262,Green_Star_Requests!$C$2:$C$501,B262,Green_Star_Requests!$J$2:$J$501,"อนุมัติ")</f>
        <v/>
      </c>
      <c r="F262" s="8">
        <f>D262+E262</f>
        <v/>
      </c>
      <c r="G262" s="8">
        <f>MAX(0,12-D262)</f>
        <v/>
      </c>
    </row>
    <row r="263">
      <c r="D263" s="8">
        <f>COUNTIFS(Attendance_Log!$C$2:$C$1001,A263,Attendance_Log!$D$2:$D$1001,B263,Attendance_Log!$O$2:$O$1001,"อนุมัติ",Attendance_Log!$K$2:$K$1001,"ผ่าน")</f>
        <v/>
      </c>
      <c r="E263" s="8">
        <f>SUMIFS(Green_Star_Requests!$H$2:$H$501,Green_Star_Requests!$B$2:$B$501,A263,Green_Star_Requests!$C$2:$C$501,B263,Green_Star_Requests!$J$2:$J$501,"อนุมัติ")</f>
        <v/>
      </c>
      <c r="F263" s="8">
        <f>D263+E263</f>
        <v/>
      </c>
      <c r="G263" s="8">
        <f>MAX(0,12-D263)</f>
        <v/>
      </c>
    </row>
    <row r="264">
      <c r="D264" s="8">
        <f>COUNTIFS(Attendance_Log!$C$2:$C$1001,A264,Attendance_Log!$D$2:$D$1001,B264,Attendance_Log!$O$2:$O$1001,"อนุมัติ",Attendance_Log!$K$2:$K$1001,"ผ่าน")</f>
        <v/>
      </c>
      <c r="E264" s="8">
        <f>SUMIFS(Green_Star_Requests!$H$2:$H$501,Green_Star_Requests!$B$2:$B$501,A264,Green_Star_Requests!$C$2:$C$501,B264,Green_Star_Requests!$J$2:$J$501,"อนุมัติ")</f>
        <v/>
      </c>
      <c r="F264" s="8">
        <f>D264+E264</f>
        <v/>
      </c>
      <c r="G264" s="8">
        <f>MAX(0,12-D264)</f>
        <v/>
      </c>
    </row>
    <row r="265">
      <c r="D265" s="8">
        <f>COUNTIFS(Attendance_Log!$C$2:$C$1001,A265,Attendance_Log!$D$2:$D$1001,B265,Attendance_Log!$O$2:$O$1001,"อนุมัติ",Attendance_Log!$K$2:$K$1001,"ผ่าน")</f>
        <v/>
      </c>
      <c r="E265" s="8">
        <f>SUMIFS(Green_Star_Requests!$H$2:$H$501,Green_Star_Requests!$B$2:$B$501,A265,Green_Star_Requests!$C$2:$C$501,B265,Green_Star_Requests!$J$2:$J$501,"อนุมัติ")</f>
        <v/>
      </c>
      <c r="F265" s="8">
        <f>D265+E265</f>
        <v/>
      </c>
      <c r="G265" s="8">
        <f>MAX(0,12-D265)</f>
        <v/>
      </c>
    </row>
    <row r="266">
      <c r="D266" s="8">
        <f>COUNTIFS(Attendance_Log!$C$2:$C$1001,A266,Attendance_Log!$D$2:$D$1001,B266,Attendance_Log!$O$2:$O$1001,"อนุมัติ",Attendance_Log!$K$2:$K$1001,"ผ่าน")</f>
        <v/>
      </c>
      <c r="E266" s="8">
        <f>SUMIFS(Green_Star_Requests!$H$2:$H$501,Green_Star_Requests!$B$2:$B$501,A266,Green_Star_Requests!$C$2:$C$501,B266,Green_Star_Requests!$J$2:$J$501,"อนุมัติ")</f>
        <v/>
      </c>
      <c r="F266" s="8">
        <f>D266+E266</f>
        <v/>
      </c>
      <c r="G266" s="8">
        <f>MAX(0,12-D266)</f>
        <v/>
      </c>
    </row>
    <row r="267">
      <c r="D267" s="8">
        <f>COUNTIFS(Attendance_Log!$C$2:$C$1001,A267,Attendance_Log!$D$2:$D$1001,B267,Attendance_Log!$O$2:$O$1001,"อนุมัติ",Attendance_Log!$K$2:$K$1001,"ผ่าน")</f>
        <v/>
      </c>
      <c r="E267" s="8">
        <f>SUMIFS(Green_Star_Requests!$H$2:$H$501,Green_Star_Requests!$B$2:$B$501,A267,Green_Star_Requests!$C$2:$C$501,B267,Green_Star_Requests!$J$2:$J$501,"อนุมัติ")</f>
        <v/>
      </c>
      <c r="F267" s="8">
        <f>D267+E267</f>
        <v/>
      </c>
      <c r="G267" s="8">
        <f>MAX(0,12-D267)</f>
        <v/>
      </c>
    </row>
    <row r="268">
      <c r="D268" s="8">
        <f>COUNTIFS(Attendance_Log!$C$2:$C$1001,A268,Attendance_Log!$D$2:$D$1001,B268,Attendance_Log!$O$2:$O$1001,"อนุมัติ",Attendance_Log!$K$2:$K$1001,"ผ่าน")</f>
        <v/>
      </c>
      <c r="E268" s="8">
        <f>SUMIFS(Green_Star_Requests!$H$2:$H$501,Green_Star_Requests!$B$2:$B$501,A268,Green_Star_Requests!$C$2:$C$501,B268,Green_Star_Requests!$J$2:$J$501,"อนุมัติ")</f>
        <v/>
      </c>
      <c r="F268" s="8">
        <f>D268+E268</f>
        <v/>
      </c>
      <c r="G268" s="8">
        <f>MAX(0,12-D268)</f>
        <v/>
      </c>
    </row>
    <row r="269">
      <c r="D269" s="8">
        <f>COUNTIFS(Attendance_Log!$C$2:$C$1001,A269,Attendance_Log!$D$2:$D$1001,B269,Attendance_Log!$O$2:$O$1001,"อนุมัติ",Attendance_Log!$K$2:$K$1001,"ผ่าน")</f>
        <v/>
      </c>
      <c r="E269" s="8">
        <f>SUMIFS(Green_Star_Requests!$H$2:$H$501,Green_Star_Requests!$B$2:$B$501,A269,Green_Star_Requests!$C$2:$C$501,B269,Green_Star_Requests!$J$2:$J$501,"อนุมัติ")</f>
        <v/>
      </c>
      <c r="F269" s="8">
        <f>D269+E269</f>
        <v/>
      </c>
      <c r="G269" s="8">
        <f>MAX(0,12-D269)</f>
        <v/>
      </c>
    </row>
    <row r="270">
      <c r="D270" s="8">
        <f>COUNTIFS(Attendance_Log!$C$2:$C$1001,A270,Attendance_Log!$D$2:$D$1001,B270,Attendance_Log!$O$2:$O$1001,"อนุมัติ",Attendance_Log!$K$2:$K$1001,"ผ่าน")</f>
        <v/>
      </c>
      <c r="E270" s="8">
        <f>SUMIFS(Green_Star_Requests!$H$2:$H$501,Green_Star_Requests!$B$2:$B$501,A270,Green_Star_Requests!$C$2:$C$501,B270,Green_Star_Requests!$J$2:$J$501,"อนุมัติ")</f>
        <v/>
      </c>
      <c r="F270" s="8">
        <f>D270+E270</f>
        <v/>
      </c>
      <c r="G270" s="8">
        <f>MAX(0,12-D270)</f>
        <v/>
      </c>
    </row>
    <row r="271">
      <c r="D271" s="8">
        <f>COUNTIFS(Attendance_Log!$C$2:$C$1001,A271,Attendance_Log!$D$2:$D$1001,B271,Attendance_Log!$O$2:$O$1001,"อนุมัติ",Attendance_Log!$K$2:$K$1001,"ผ่าน")</f>
        <v/>
      </c>
      <c r="E271" s="8">
        <f>SUMIFS(Green_Star_Requests!$H$2:$H$501,Green_Star_Requests!$B$2:$B$501,A271,Green_Star_Requests!$C$2:$C$501,B271,Green_Star_Requests!$J$2:$J$501,"อนุมัติ")</f>
        <v/>
      </c>
      <c r="F271" s="8">
        <f>D271+E271</f>
        <v/>
      </c>
      <c r="G271" s="8">
        <f>MAX(0,12-D271)</f>
        <v/>
      </c>
    </row>
    <row r="272">
      <c r="D272" s="8">
        <f>COUNTIFS(Attendance_Log!$C$2:$C$1001,A272,Attendance_Log!$D$2:$D$1001,B272,Attendance_Log!$O$2:$O$1001,"อนุมัติ",Attendance_Log!$K$2:$K$1001,"ผ่าน")</f>
        <v/>
      </c>
      <c r="E272" s="8">
        <f>SUMIFS(Green_Star_Requests!$H$2:$H$501,Green_Star_Requests!$B$2:$B$501,A272,Green_Star_Requests!$C$2:$C$501,B272,Green_Star_Requests!$J$2:$J$501,"อนุมัติ")</f>
        <v/>
      </c>
      <c r="F272" s="8">
        <f>D272+E272</f>
        <v/>
      </c>
      <c r="G272" s="8">
        <f>MAX(0,12-D272)</f>
        <v/>
      </c>
    </row>
    <row r="273">
      <c r="D273" s="8">
        <f>COUNTIFS(Attendance_Log!$C$2:$C$1001,A273,Attendance_Log!$D$2:$D$1001,B273,Attendance_Log!$O$2:$O$1001,"อนุมัติ",Attendance_Log!$K$2:$K$1001,"ผ่าน")</f>
        <v/>
      </c>
      <c r="E273" s="8">
        <f>SUMIFS(Green_Star_Requests!$H$2:$H$501,Green_Star_Requests!$B$2:$B$501,A273,Green_Star_Requests!$C$2:$C$501,B273,Green_Star_Requests!$J$2:$J$501,"อนุมัติ")</f>
        <v/>
      </c>
      <c r="F273" s="8">
        <f>D273+E273</f>
        <v/>
      </c>
      <c r="G273" s="8">
        <f>MAX(0,12-D273)</f>
        <v/>
      </c>
    </row>
    <row r="274">
      <c r="D274" s="8">
        <f>COUNTIFS(Attendance_Log!$C$2:$C$1001,A274,Attendance_Log!$D$2:$D$1001,B274,Attendance_Log!$O$2:$O$1001,"อนุมัติ",Attendance_Log!$K$2:$K$1001,"ผ่าน")</f>
        <v/>
      </c>
      <c r="E274" s="8">
        <f>SUMIFS(Green_Star_Requests!$H$2:$H$501,Green_Star_Requests!$B$2:$B$501,A274,Green_Star_Requests!$C$2:$C$501,B274,Green_Star_Requests!$J$2:$J$501,"อนุมัติ")</f>
        <v/>
      </c>
      <c r="F274" s="8">
        <f>D274+E274</f>
        <v/>
      </c>
      <c r="G274" s="8">
        <f>MAX(0,12-D274)</f>
        <v/>
      </c>
    </row>
    <row r="275">
      <c r="D275" s="8">
        <f>COUNTIFS(Attendance_Log!$C$2:$C$1001,A275,Attendance_Log!$D$2:$D$1001,B275,Attendance_Log!$O$2:$O$1001,"อนุมัติ",Attendance_Log!$K$2:$K$1001,"ผ่าน")</f>
        <v/>
      </c>
      <c r="E275" s="8">
        <f>SUMIFS(Green_Star_Requests!$H$2:$H$501,Green_Star_Requests!$B$2:$B$501,A275,Green_Star_Requests!$C$2:$C$501,B275,Green_Star_Requests!$J$2:$J$501,"อนุมัติ")</f>
        <v/>
      </c>
      <c r="F275" s="8">
        <f>D275+E275</f>
        <v/>
      </c>
      <c r="G275" s="8">
        <f>MAX(0,12-D275)</f>
        <v/>
      </c>
    </row>
    <row r="276">
      <c r="D276" s="8">
        <f>COUNTIFS(Attendance_Log!$C$2:$C$1001,A276,Attendance_Log!$D$2:$D$1001,B276,Attendance_Log!$O$2:$O$1001,"อนุมัติ",Attendance_Log!$K$2:$K$1001,"ผ่าน")</f>
        <v/>
      </c>
      <c r="E276" s="8">
        <f>SUMIFS(Green_Star_Requests!$H$2:$H$501,Green_Star_Requests!$B$2:$B$501,A276,Green_Star_Requests!$C$2:$C$501,B276,Green_Star_Requests!$J$2:$J$501,"อนุมัติ")</f>
        <v/>
      </c>
      <c r="F276" s="8">
        <f>D276+E276</f>
        <v/>
      </c>
      <c r="G276" s="8">
        <f>MAX(0,12-D276)</f>
        <v/>
      </c>
    </row>
    <row r="277">
      <c r="D277" s="8">
        <f>COUNTIFS(Attendance_Log!$C$2:$C$1001,A277,Attendance_Log!$D$2:$D$1001,B277,Attendance_Log!$O$2:$O$1001,"อนุมัติ",Attendance_Log!$K$2:$K$1001,"ผ่าน")</f>
        <v/>
      </c>
      <c r="E277" s="8">
        <f>SUMIFS(Green_Star_Requests!$H$2:$H$501,Green_Star_Requests!$B$2:$B$501,A277,Green_Star_Requests!$C$2:$C$501,B277,Green_Star_Requests!$J$2:$J$501,"อนุมัติ")</f>
        <v/>
      </c>
      <c r="F277" s="8">
        <f>D277+E277</f>
        <v/>
      </c>
      <c r="G277" s="8">
        <f>MAX(0,12-D277)</f>
        <v/>
      </c>
    </row>
    <row r="278">
      <c r="D278" s="8">
        <f>COUNTIFS(Attendance_Log!$C$2:$C$1001,A278,Attendance_Log!$D$2:$D$1001,B278,Attendance_Log!$O$2:$O$1001,"อนุมัติ",Attendance_Log!$K$2:$K$1001,"ผ่าน")</f>
        <v/>
      </c>
      <c r="E278" s="8">
        <f>SUMIFS(Green_Star_Requests!$H$2:$H$501,Green_Star_Requests!$B$2:$B$501,A278,Green_Star_Requests!$C$2:$C$501,B278,Green_Star_Requests!$J$2:$J$501,"อนุมัติ")</f>
        <v/>
      </c>
      <c r="F278" s="8">
        <f>D278+E278</f>
        <v/>
      </c>
      <c r="G278" s="8">
        <f>MAX(0,12-D278)</f>
        <v/>
      </c>
    </row>
    <row r="279">
      <c r="D279" s="8">
        <f>COUNTIFS(Attendance_Log!$C$2:$C$1001,A279,Attendance_Log!$D$2:$D$1001,B279,Attendance_Log!$O$2:$O$1001,"อนุมัติ",Attendance_Log!$K$2:$K$1001,"ผ่าน")</f>
        <v/>
      </c>
      <c r="E279" s="8">
        <f>SUMIFS(Green_Star_Requests!$H$2:$H$501,Green_Star_Requests!$B$2:$B$501,A279,Green_Star_Requests!$C$2:$C$501,B279,Green_Star_Requests!$J$2:$J$501,"อนุมัติ")</f>
        <v/>
      </c>
      <c r="F279" s="8">
        <f>D279+E279</f>
        <v/>
      </c>
      <c r="G279" s="8">
        <f>MAX(0,12-D279)</f>
        <v/>
      </c>
    </row>
    <row r="280">
      <c r="D280" s="8">
        <f>COUNTIFS(Attendance_Log!$C$2:$C$1001,A280,Attendance_Log!$D$2:$D$1001,B280,Attendance_Log!$O$2:$O$1001,"อนุมัติ",Attendance_Log!$K$2:$K$1001,"ผ่าน")</f>
        <v/>
      </c>
      <c r="E280" s="8">
        <f>SUMIFS(Green_Star_Requests!$H$2:$H$501,Green_Star_Requests!$B$2:$B$501,A280,Green_Star_Requests!$C$2:$C$501,B280,Green_Star_Requests!$J$2:$J$501,"อนุมัติ")</f>
        <v/>
      </c>
      <c r="F280" s="8">
        <f>D280+E280</f>
        <v/>
      </c>
      <c r="G280" s="8">
        <f>MAX(0,12-D280)</f>
        <v/>
      </c>
    </row>
    <row r="281">
      <c r="D281" s="8">
        <f>COUNTIFS(Attendance_Log!$C$2:$C$1001,A281,Attendance_Log!$D$2:$D$1001,B281,Attendance_Log!$O$2:$O$1001,"อนุมัติ",Attendance_Log!$K$2:$K$1001,"ผ่าน")</f>
        <v/>
      </c>
      <c r="E281" s="8">
        <f>SUMIFS(Green_Star_Requests!$H$2:$H$501,Green_Star_Requests!$B$2:$B$501,A281,Green_Star_Requests!$C$2:$C$501,B281,Green_Star_Requests!$J$2:$J$501,"อนุมัติ")</f>
        <v/>
      </c>
      <c r="F281" s="8">
        <f>D281+E281</f>
        <v/>
      </c>
      <c r="G281" s="8">
        <f>MAX(0,12-D281)</f>
        <v/>
      </c>
    </row>
    <row r="282">
      <c r="D282" s="8">
        <f>COUNTIFS(Attendance_Log!$C$2:$C$1001,A282,Attendance_Log!$D$2:$D$1001,B282,Attendance_Log!$O$2:$O$1001,"อนุมัติ",Attendance_Log!$K$2:$K$1001,"ผ่าน")</f>
        <v/>
      </c>
      <c r="E282" s="8">
        <f>SUMIFS(Green_Star_Requests!$H$2:$H$501,Green_Star_Requests!$B$2:$B$501,A282,Green_Star_Requests!$C$2:$C$501,B282,Green_Star_Requests!$J$2:$J$501,"อนุมัติ")</f>
        <v/>
      </c>
      <c r="F282" s="8">
        <f>D282+E282</f>
        <v/>
      </c>
      <c r="G282" s="8">
        <f>MAX(0,12-D282)</f>
        <v/>
      </c>
    </row>
    <row r="283">
      <c r="D283" s="8">
        <f>COUNTIFS(Attendance_Log!$C$2:$C$1001,A283,Attendance_Log!$D$2:$D$1001,B283,Attendance_Log!$O$2:$O$1001,"อนุมัติ",Attendance_Log!$K$2:$K$1001,"ผ่าน")</f>
        <v/>
      </c>
      <c r="E283" s="8">
        <f>SUMIFS(Green_Star_Requests!$H$2:$H$501,Green_Star_Requests!$B$2:$B$501,A283,Green_Star_Requests!$C$2:$C$501,B283,Green_Star_Requests!$J$2:$J$501,"อนุมัติ")</f>
        <v/>
      </c>
      <c r="F283" s="8">
        <f>D283+E283</f>
        <v/>
      </c>
      <c r="G283" s="8">
        <f>MAX(0,12-D283)</f>
        <v/>
      </c>
    </row>
    <row r="284">
      <c r="D284" s="8">
        <f>COUNTIFS(Attendance_Log!$C$2:$C$1001,A284,Attendance_Log!$D$2:$D$1001,B284,Attendance_Log!$O$2:$O$1001,"อนุมัติ",Attendance_Log!$K$2:$K$1001,"ผ่าน")</f>
        <v/>
      </c>
      <c r="E284" s="8">
        <f>SUMIFS(Green_Star_Requests!$H$2:$H$501,Green_Star_Requests!$B$2:$B$501,A284,Green_Star_Requests!$C$2:$C$501,B284,Green_Star_Requests!$J$2:$J$501,"อนุมัติ")</f>
        <v/>
      </c>
      <c r="F284" s="8">
        <f>D284+E284</f>
        <v/>
      </c>
      <c r="G284" s="8">
        <f>MAX(0,12-D284)</f>
        <v/>
      </c>
    </row>
    <row r="285">
      <c r="D285" s="8">
        <f>COUNTIFS(Attendance_Log!$C$2:$C$1001,A285,Attendance_Log!$D$2:$D$1001,B285,Attendance_Log!$O$2:$O$1001,"อนุมัติ",Attendance_Log!$K$2:$K$1001,"ผ่าน")</f>
        <v/>
      </c>
      <c r="E285" s="8">
        <f>SUMIFS(Green_Star_Requests!$H$2:$H$501,Green_Star_Requests!$B$2:$B$501,A285,Green_Star_Requests!$C$2:$C$501,B285,Green_Star_Requests!$J$2:$J$501,"อนุมัติ")</f>
        <v/>
      </c>
      <c r="F285" s="8">
        <f>D285+E285</f>
        <v/>
      </c>
      <c r="G285" s="8">
        <f>MAX(0,12-D285)</f>
        <v/>
      </c>
    </row>
    <row r="286">
      <c r="D286" s="8">
        <f>COUNTIFS(Attendance_Log!$C$2:$C$1001,A286,Attendance_Log!$D$2:$D$1001,B286,Attendance_Log!$O$2:$O$1001,"อนุมัติ",Attendance_Log!$K$2:$K$1001,"ผ่าน")</f>
        <v/>
      </c>
      <c r="E286" s="8">
        <f>SUMIFS(Green_Star_Requests!$H$2:$H$501,Green_Star_Requests!$B$2:$B$501,A286,Green_Star_Requests!$C$2:$C$501,B286,Green_Star_Requests!$J$2:$J$501,"อนุมัติ")</f>
        <v/>
      </c>
      <c r="F286" s="8">
        <f>D286+E286</f>
        <v/>
      </c>
      <c r="G286" s="8">
        <f>MAX(0,12-D286)</f>
        <v/>
      </c>
    </row>
    <row r="287">
      <c r="D287" s="8">
        <f>COUNTIFS(Attendance_Log!$C$2:$C$1001,A287,Attendance_Log!$D$2:$D$1001,B287,Attendance_Log!$O$2:$O$1001,"อนุมัติ",Attendance_Log!$K$2:$K$1001,"ผ่าน")</f>
        <v/>
      </c>
      <c r="E287" s="8">
        <f>SUMIFS(Green_Star_Requests!$H$2:$H$501,Green_Star_Requests!$B$2:$B$501,A287,Green_Star_Requests!$C$2:$C$501,B287,Green_Star_Requests!$J$2:$J$501,"อนุมัติ")</f>
        <v/>
      </c>
      <c r="F287" s="8">
        <f>D287+E287</f>
        <v/>
      </c>
      <c r="G287" s="8">
        <f>MAX(0,12-D287)</f>
        <v/>
      </c>
    </row>
    <row r="288">
      <c r="D288" s="8">
        <f>COUNTIFS(Attendance_Log!$C$2:$C$1001,A288,Attendance_Log!$D$2:$D$1001,B288,Attendance_Log!$O$2:$O$1001,"อนุมัติ",Attendance_Log!$K$2:$K$1001,"ผ่าน")</f>
        <v/>
      </c>
      <c r="E288" s="8">
        <f>SUMIFS(Green_Star_Requests!$H$2:$H$501,Green_Star_Requests!$B$2:$B$501,A288,Green_Star_Requests!$C$2:$C$501,B288,Green_Star_Requests!$J$2:$J$501,"อนุมัติ")</f>
        <v/>
      </c>
      <c r="F288" s="8">
        <f>D288+E288</f>
        <v/>
      </c>
      <c r="G288" s="8">
        <f>MAX(0,12-D288)</f>
        <v/>
      </c>
    </row>
    <row r="289">
      <c r="D289" s="8">
        <f>COUNTIFS(Attendance_Log!$C$2:$C$1001,A289,Attendance_Log!$D$2:$D$1001,B289,Attendance_Log!$O$2:$O$1001,"อนุมัติ",Attendance_Log!$K$2:$K$1001,"ผ่าน")</f>
        <v/>
      </c>
      <c r="E289" s="8">
        <f>SUMIFS(Green_Star_Requests!$H$2:$H$501,Green_Star_Requests!$B$2:$B$501,A289,Green_Star_Requests!$C$2:$C$501,B289,Green_Star_Requests!$J$2:$J$501,"อนุมัติ")</f>
        <v/>
      </c>
      <c r="F289" s="8">
        <f>D289+E289</f>
        <v/>
      </c>
      <c r="G289" s="8">
        <f>MAX(0,12-D289)</f>
        <v/>
      </c>
    </row>
    <row r="290">
      <c r="D290" s="8">
        <f>COUNTIFS(Attendance_Log!$C$2:$C$1001,A290,Attendance_Log!$D$2:$D$1001,B290,Attendance_Log!$O$2:$O$1001,"อนุมัติ",Attendance_Log!$K$2:$K$1001,"ผ่าน")</f>
        <v/>
      </c>
      <c r="E290" s="8">
        <f>SUMIFS(Green_Star_Requests!$H$2:$H$501,Green_Star_Requests!$B$2:$B$501,A290,Green_Star_Requests!$C$2:$C$501,B290,Green_Star_Requests!$J$2:$J$501,"อนุมัติ")</f>
        <v/>
      </c>
      <c r="F290" s="8">
        <f>D290+E290</f>
        <v/>
      </c>
      <c r="G290" s="8">
        <f>MAX(0,12-D290)</f>
        <v/>
      </c>
    </row>
    <row r="291">
      <c r="D291" s="8">
        <f>COUNTIFS(Attendance_Log!$C$2:$C$1001,A291,Attendance_Log!$D$2:$D$1001,B291,Attendance_Log!$O$2:$O$1001,"อนุมัติ",Attendance_Log!$K$2:$K$1001,"ผ่าน")</f>
        <v/>
      </c>
      <c r="E291" s="8">
        <f>SUMIFS(Green_Star_Requests!$H$2:$H$501,Green_Star_Requests!$B$2:$B$501,A291,Green_Star_Requests!$C$2:$C$501,B291,Green_Star_Requests!$J$2:$J$501,"อนุมัติ")</f>
        <v/>
      </c>
      <c r="F291" s="8">
        <f>D291+E291</f>
        <v/>
      </c>
      <c r="G291" s="8">
        <f>MAX(0,12-D291)</f>
        <v/>
      </c>
    </row>
    <row r="292">
      <c r="D292" s="8">
        <f>COUNTIFS(Attendance_Log!$C$2:$C$1001,A292,Attendance_Log!$D$2:$D$1001,B292,Attendance_Log!$O$2:$O$1001,"อนุมัติ",Attendance_Log!$K$2:$K$1001,"ผ่าน")</f>
        <v/>
      </c>
      <c r="E292" s="8">
        <f>SUMIFS(Green_Star_Requests!$H$2:$H$501,Green_Star_Requests!$B$2:$B$501,A292,Green_Star_Requests!$C$2:$C$501,B292,Green_Star_Requests!$J$2:$J$501,"อนุมัติ")</f>
        <v/>
      </c>
      <c r="F292" s="8">
        <f>D292+E292</f>
        <v/>
      </c>
      <c r="G292" s="8">
        <f>MAX(0,12-D292)</f>
        <v/>
      </c>
    </row>
    <row r="293">
      <c r="D293" s="8">
        <f>COUNTIFS(Attendance_Log!$C$2:$C$1001,A293,Attendance_Log!$D$2:$D$1001,B293,Attendance_Log!$O$2:$O$1001,"อนุมัติ",Attendance_Log!$K$2:$K$1001,"ผ่าน")</f>
        <v/>
      </c>
      <c r="E293" s="8">
        <f>SUMIFS(Green_Star_Requests!$H$2:$H$501,Green_Star_Requests!$B$2:$B$501,A293,Green_Star_Requests!$C$2:$C$501,B293,Green_Star_Requests!$J$2:$J$501,"อนุมัติ")</f>
        <v/>
      </c>
      <c r="F293" s="8">
        <f>D293+E293</f>
        <v/>
      </c>
      <c r="G293" s="8">
        <f>MAX(0,12-D293)</f>
        <v/>
      </c>
    </row>
    <row r="294">
      <c r="D294" s="8">
        <f>COUNTIFS(Attendance_Log!$C$2:$C$1001,A294,Attendance_Log!$D$2:$D$1001,B294,Attendance_Log!$O$2:$O$1001,"อนุมัติ",Attendance_Log!$K$2:$K$1001,"ผ่าน")</f>
        <v/>
      </c>
      <c r="E294" s="8">
        <f>SUMIFS(Green_Star_Requests!$H$2:$H$501,Green_Star_Requests!$B$2:$B$501,A294,Green_Star_Requests!$C$2:$C$501,B294,Green_Star_Requests!$J$2:$J$501,"อนุมัติ")</f>
        <v/>
      </c>
      <c r="F294" s="8">
        <f>D294+E294</f>
        <v/>
      </c>
      <c r="G294" s="8">
        <f>MAX(0,12-D294)</f>
        <v/>
      </c>
    </row>
    <row r="295">
      <c r="D295" s="8">
        <f>COUNTIFS(Attendance_Log!$C$2:$C$1001,A295,Attendance_Log!$D$2:$D$1001,B295,Attendance_Log!$O$2:$O$1001,"อนุมัติ",Attendance_Log!$K$2:$K$1001,"ผ่าน")</f>
        <v/>
      </c>
      <c r="E295" s="8">
        <f>SUMIFS(Green_Star_Requests!$H$2:$H$501,Green_Star_Requests!$B$2:$B$501,A295,Green_Star_Requests!$C$2:$C$501,B295,Green_Star_Requests!$J$2:$J$501,"อนุมัติ")</f>
        <v/>
      </c>
      <c r="F295" s="8">
        <f>D295+E295</f>
        <v/>
      </c>
      <c r="G295" s="8">
        <f>MAX(0,12-D295)</f>
        <v/>
      </c>
    </row>
    <row r="296">
      <c r="D296" s="8">
        <f>COUNTIFS(Attendance_Log!$C$2:$C$1001,A296,Attendance_Log!$D$2:$D$1001,B296,Attendance_Log!$O$2:$O$1001,"อนุมัติ",Attendance_Log!$K$2:$K$1001,"ผ่าน")</f>
        <v/>
      </c>
      <c r="E296" s="8">
        <f>SUMIFS(Green_Star_Requests!$H$2:$H$501,Green_Star_Requests!$B$2:$B$501,A296,Green_Star_Requests!$C$2:$C$501,B296,Green_Star_Requests!$J$2:$J$501,"อนุมัติ")</f>
        <v/>
      </c>
      <c r="F296" s="8">
        <f>D296+E296</f>
        <v/>
      </c>
      <c r="G296" s="8">
        <f>MAX(0,12-D296)</f>
        <v/>
      </c>
    </row>
    <row r="297">
      <c r="D297" s="8">
        <f>COUNTIFS(Attendance_Log!$C$2:$C$1001,A297,Attendance_Log!$D$2:$D$1001,B297,Attendance_Log!$O$2:$O$1001,"อนุมัติ",Attendance_Log!$K$2:$K$1001,"ผ่าน")</f>
        <v/>
      </c>
      <c r="E297" s="8">
        <f>SUMIFS(Green_Star_Requests!$H$2:$H$501,Green_Star_Requests!$B$2:$B$501,A297,Green_Star_Requests!$C$2:$C$501,B297,Green_Star_Requests!$J$2:$J$501,"อนุมัติ")</f>
        <v/>
      </c>
      <c r="F297" s="8">
        <f>D297+E297</f>
        <v/>
      </c>
      <c r="G297" s="8">
        <f>MAX(0,12-D297)</f>
        <v/>
      </c>
    </row>
    <row r="298">
      <c r="D298" s="8">
        <f>COUNTIFS(Attendance_Log!$C$2:$C$1001,A298,Attendance_Log!$D$2:$D$1001,B298,Attendance_Log!$O$2:$O$1001,"อนุมัติ",Attendance_Log!$K$2:$K$1001,"ผ่าน")</f>
        <v/>
      </c>
      <c r="E298" s="8">
        <f>SUMIFS(Green_Star_Requests!$H$2:$H$501,Green_Star_Requests!$B$2:$B$501,A298,Green_Star_Requests!$C$2:$C$501,B298,Green_Star_Requests!$J$2:$J$501,"อนุมัติ")</f>
        <v/>
      </c>
      <c r="F298" s="8">
        <f>D298+E298</f>
        <v/>
      </c>
      <c r="G298" s="8">
        <f>MAX(0,12-D298)</f>
        <v/>
      </c>
    </row>
    <row r="299">
      <c r="D299" s="8">
        <f>COUNTIFS(Attendance_Log!$C$2:$C$1001,A299,Attendance_Log!$D$2:$D$1001,B299,Attendance_Log!$O$2:$O$1001,"อนุมัติ",Attendance_Log!$K$2:$K$1001,"ผ่าน")</f>
        <v/>
      </c>
      <c r="E299" s="8">
        <f>SUMIFS(Green_Star_Requests!$H$2:$H$501,Green_Star_Requests!$B$2:$B$501,A299,Green_Star_Requests!$C$2:$C$501,B299,Green_Star_Requests!$J$2:$J$501,"อนุมัติ")</f>
        <v/>
      </c>
      <c r="F299" s="8">
        <f>D299+E299</f>
        <v/>
      </c>
      <c r="G299" s="8">
        <f>MAX(0,12-D299)</f>
        <v/>
      </c>
    </row>
    <row r="300">
      <c r="D300" s="8">
        <f>COUNTIFS(Attendance_Log!$C$2:$C$1001,A300,Attendance_Log!$D$2:$D$1001,B300,Attendance_Log!$O$2:$O$1001,"อนุมัติ",Attendance_Log!$K$2:$K$1001,"ผ่าน")</f>
        <v/>
      </c>
      <c r="E300" s="8">
        <f>SUMIFS(Green_Star_Requests!$H$2:$H$501,Green_Star_Requests!$B$2:$B$501,A300,Green_Star_Requests!$C$2:$C$501,B300,Green_Star_Requests!$J$2:$J$501,"อนุมัติ")</f>
        <v/>
      </c>
      <c r="F300" s="8">
        <f>D300+E300</f>
        <v/>
      </c>
      <c r="G300" s="8">
        <f>MAX(0,12-D300)</f>
        <v/>
      </c>
    </row>
    <row r="301">
      <c r="D301" s="8">
        <f>COUNTIFS(Attendance_Log!$C$2:$C$1001,A301,Attendance_Log!$D$2:$D$1001,B301,Attendance_Log!$O$2:$O$1001,"อนุมัติ",Attendance_Log!$K$2:$K$1001,"ผ่าน")</f>
        <v/>
      </c>
      <c r="E301" s="8">
        <f>SUMIFS(Green_Star_Requests!$H$2:$H$501,Green_Star_Requests!$B$2:$B$501,A301,Green_Star_Requests!$C$2:$C$501,B301,Green_Star_Requests!$J$2:$J$501,"อนุมัติ")</f>
        <v/>
      </c>
      <c r="F301" s="8">
        <f>D301+E301</f>
        <v/>
      </c>
      <c r="G301" s="8">
        <f>MAX(0,12-D301)</f>
        <v/>
      </c>
    </row>
    <row r="302">
      <c r="D302" s="8">
        <f>COUNTIFS(Attendance_Log!$C$2:$C$1001,A302,Attendance_Log!$D$2:$D$1001,B302,Attendance_Log!$O$2:$O$1001,"อนุมัติ",Attendance_Log!$K$2:$K$1001,"ผ่าน")</f>
        <v/>
      </c>
      <c r="E302" s="8">
        <f>SUMIFS(Green_Star_Requests!$H$2:$H$501,Green_Star_Requests!$B$2:$B$501,A302,Green_Star_Requests!$C$2:$C$501,B302,Green_Star_Requests!$J$2:$J$501,"อนุมัติ")</f>
        <v/>
      </c>
      <c r="F302" s="8">
        <f>D302+E302</f>
        <v/>
      </c>
      <c r="G302" s="8">
        <f>MAX(0,12-D302)</f>
        <v/>
      </c>
    </row>
    <row r="303">
      <c r="D303" s="8">
        <f>COUNTIFS(Attendance_Log!$C$2:$C$1001,A303,Attendance_Log!$D$2:$D$1001,B303,Attendance_Log!$O$2:$O$1001,"อนุมัติ",Attendance_Log!$K$2:$K$1001,"ผ่าน")</f>
        <v/>
      </c>
      <c r="E303" s="8">
        <f>SUMIFS(Green_Star_Requests!$H$2:$H$501,Green_Star_Requests!$B$2:$B$501,A303,Green_Star_Requests!$C$2:$C$501,B303,Green_Star_Requests!$J$2:$J$501,"อนุมัติ")</f>
        <v/>
      </c>
      <c r="F303" s="8">
        <f>D303+E303</f>
        <v/>
      </c>
      <c r="G303" s="8">
        <f>MAX(0,12-D303)</f>
        <v/>
      </c>
    </row>
    <row r="304">
      <c r="D304" s="8">
        <f>COUNTIFS(Attendance_Log!$C$2:$C$1001,A304,Attendance_Log!$D$2:$D$1001,B304,Attendance_Log!$O$2:$O$1001,"อนุมัติ",Attendance_Log!$K$2:$K$1001,"ผ่าน")</f>
        <v/>
      </c>
      <c r="E304" s="8">
        <f>SUMIFS(Green_Star_Requests!$H$2:$H$501,Green_Star_Requests!$B$2:$B$501,A304,Green_Star_Requests!$C$2:$C$501,B304,Green_Star_Requests!$J$2:$J$501,"อนุมัติ")</f>
        <v/>
      </c>
      <c r="F304" s="8">
        <f>D304+E304</f>
        <v/>
      </c>
      <c r="G304" s="8">
        <f>MAX(0,12-D304)</f>
        <v/>
      </c>
    </row>
    <row r="305">
      <c r="D305" s="8">
        <f>COUNTIFS(Attendance_Log!$C$2:$C$1001,A305,Attendance_Log!$D$2:$D$1001,B305,Attendance_Log!$O$2:$O$1001,"อนุมัติ",Attendance_Log!$K$2:$K$1001,"ผ่าน")</f>
        <v/>
      </c>
      <c r="E305" s="8">
        <f>SUMIFS(Green_Star_Requests!$H$2:$H$501,Green_Star_Requests!$B$2:$B$501,A305,Green_Star_Requests!$C$2:$C$501,B305,Green_Star_Requests!$J$2:$J$501,"อนุมัติ")</f>
        <v/>
      </c>
      <c r="F305" s="8">
        <f>D305+E305</f>
        <v/>
      </c>
      <c r="G305" s="8">
        <f>MAX(0,12-D305)</f>
        <v/>
      </c>
    </row>
    <row r="306">
      <c r="D306" s="8">
        <f>COUNTIFS(Attendance_Log!$C$2:$C$1001,A306,Attendance_Log!$D$2:$D$1001,B306,Attendance_Log!$O$2:$O$1001,"อนุมัติ",Attendance_Log!$K$2:$K$1001,"ผ่าน")</f>
        <v/>
      </c>
      <c r="E306" s="8">
        <f>SUMIFS(Green_Star_Requests!$H$2:$H$501,Green_Star_Requests!$B$2:$B$501,A306,Green_Star_Requests!$C$2:$C$501,B306,Green_Star_Requests!$J$2:$J$501,"อนุมัติ")</f>
        <v/>
      </c>
      <c r="F306" s="8">
        <f>D306+E306</f>
        <v/>
      </c>
      <c r="G306" s="8">
        <f>MAX(0,12-D306)</f>
        <v/>
      </c>
    </row>
    <row r="307">
      <c r="D307" s="8">
        <f>COUNTIFS(Attendance_Log!$C$2:$C$1001,A307,Attendance_Log!$D$2:$D$1001,B307,Attendance_Log!$O$2:$O$1001,"อนุมัติ",Attendance_Log!$K$2:$K$1001,"ผ่าน")</f>
        <v/>
      </c>
      <c r="E307" s="8">
        <f>SUMIFS(Green_Star_Requests!$H$2:$H$501,Green_Star_Requests!$B$2:$B$501,A307,Green_Star_Requests!$C$2:$C$501,B307,Green_Star_Requests!$J$2:$J$501,"อนุมัติ")</f>
        <v/>
      </c>
      <c r="F307" s="8">
        <f>D307+E307</f>
        <v/>
      </c>
      <c r="G307" s="8">
        <f>MAX(0,12-D307)</f>
        <v/>
      </c>
    </row>
    <row r="308">
      <c r="D308" s="8">
        <f>COUNTIFS(Attendance_Log!$C$2:$C$1001,A308,Attendance_Log!$D$2:$D$1001,B308,Attendance_Log!$O$2:$O$1001,"อนุมัติ",Attendance_Log!$K$2:$K$1001,"ผ่าน")</f>
        <v/>
      </c>
      <c r="E308" s="8">
        <f>SUMIFS(Green_Star_Requests!$H$2:$H$501,Green_Star_Requests!$B$2:$B$501,A308,Green_Star_Requests!$C$2:$C$501,B308,Green_Star_Requests!$J$2:$J$501,"อนุมัติ")</f>
        <v/>
      </c>
      <c r="F308" s="8">
        <f>D308+E308</f>
        <v/>
      </c>
      <c r="G308" s="8">
        <f>MAX(0,12-D308)</f>
        <v/>
      </c>
    </row>
    <row r="309">
      <c r="D309" s="8">
        <f>COUNTIFS(Attendance_Log!$C$2:$C$1001,A309,Attendance_Log!$D$2:$D$1001,B309,Attendance_Log!$O$2:$O$1001,"อนุมัติ",Attendance_Log!$K$2:$K$1001,"ผ่าน")</f>
        <v/>
      </c>
      <c r="E309" s="8">
        <f>SUMIFS(Green_Star_Requests!$H$2:$H$501,Green_Star_Requests!$B$2:$B$501,A309,Green_Star_Requests!$C$2:$C$501,B309,Green_Star_Requests!$J$2:$J$501,"อนุมัติ")</f>
        <v/>
      </c>
      <c r="F309" s="8">
        <f>D309+E309</f>
        <v/>
      </c>
      <c r="G309" s="8">
        <f>MAX(0,12-D309)</f>
        <v/>
      </c>
    </row>
    <row r="310">
      <c r="D310" s="8">
        <f>COUNTIFS(Attendance_Log!$C$2:$C$1001,A310,Attendance_Log!$D$2:$D$1001,B310,Attendance_Log!$O$2:$O$1001,"อนุมัติ",Attendance_Log!$K$2:$K$1001,"ผ่าน")</f>
        <v/>
      </c>
      <c r="E310" s="8">
        <f>SUMIFS(Green_Star_Requests!$H$2:$H$501,Green_Star_Requests!$B$2:$B$501,A310,Green_Star_Requests!$C$2:$C$501,B310,Green_Star_Requests!$J$2:$J$501,"อนุมัติ")</f>
        <v/>
      </c>
      <c r="F310" s="8">
        <f>D310+E310</f>
        <v/>
      </c>
      <c r="G310" s="8">
        <f>MAX(0,12-D310)</f>
        <v/>
      </c>
    </row>
    <row r="311">
      <c r="D311" s="8">
        <f>COUNTIFS(Attendance_Log!$C$2:$C$1001,A311,Attendance_Log!$D$2:$D$1001,B311,Attendance_Log!$O$2:$O$1001,"อนุมัติ",Attendance_Log!$K$2:$K$1001,"ผ่าน")</f>
        <v/>
      </c>
      <c r="E311" s="8">
        <f>SUMIFS(Green_Star_Requests!$H$2:$H$501,Green_Star_Requests!$B$2:$B$501,A311,Green_Star_Requests!$C$2:$C$501,B311,Green_Star_Requests!$J$2:$J$501,"อนุมัติ")</f>
        <v/>
      </c>
      <c r="F311" s="8">
        <f>D311+E311</f>
        <v/>
      </c>
      <c r="G311" s="8">
        <f>MAX(0,12-D311)</f>
        <v/>
      </c>
    </row>
    <row r="312">
      <c r="D312" s="8">
        <f>COUNTIFS(Attendance_Log!$C$2:$C$1001,A312,Attendance_Log!$D$2:$D$1001,B312,Attendance_Log!$O$2:$O$1001,"อนุมัติ",Attendance_Log!$K$2:$K$1001,"ผ่าน")</f>
        <v/>
      </c>
      <c r="E312" s="8">
        <f>SUMIFS(Green_Star_Requests!$H$2:$H$501,Green_Star_Requests!$B$2:$B$501,A312,Green_Star_Requests!$C$2:$C$501,B312,Green_Star_Requests!$J$2:$J$501,"อนุมัติ")</f>
        <v/>
      </c>
      <c r="F312" s="8">
        <f>D312+E312</f>
        <v/>
      </c>
      <c r="G312" s="8">
        <f>MAX(0,12-D312)</f>
        <v/>
      </c>
    </row>
    <row r="313">
      <c r="D313" s="8">
        <f>COUNTIFS(Attendance_Log!$C$2:$C$1001,A313,Attendance_Log!$D$2:$D$1001,B313,Attendance_Log!$O$2:$O$1001,"อนุมัติ",Attendance_Log!$K$2:$K$1001,"ผ่าน")</f>
        <v/>
      </c>
      <c r="E313" s="8">
        <f>SUMIFS(Green_Star_Requests!$H$2:$H$501,Green_Star_Requests!$B$2:$B$501,A313,Green_Star_Requests!$C$2:$C$501,B313,Green_Star_Requests!$J$2:$J$501,"อนุมัติ")</f>
        <v/>
      </c>
      <c r="F313" s="8">
        <f>D313+E313</f>
        <v/>
      </c>
      <c r="G313" s="8">
        <f>MAX(0,12-D313)</f>
        <v/>
      </c>
    </row>
    <row r="314">
      <c r="D314" s="8">
        <f>COUNTIFS(Attendance_Log!$C$2:$C$1001,A314,Attendance_Log!$D$2:$D$1001,B314,Attendance_Log!$O$2:$O$1001,"อนุมัติ",Attendance_Log!$K$2:$K$1001,"ผ่าน")</f>
        <v/>
      </c>
      <c r="E314" s="8">
        <f>SUMIFS(Green_Star_Requests!$H$2:$H$501,Green_Star_Requests!$B$2:$B$501,A314,Green_Star_Requests!$C$2:$C$501,B314,Green_Star_Requests!$J$2:$J$501,"อนุมัติ")</f>
        <v/>
      </c>
      <c r="F314" s="8">
        <f>D314+E314</f>
        <v/>
      </c>
      <c r="G314" s="8">
        <f>MAX(0,12-D314)</f>
        <v/>
      </c>
    </row>
    <row r="315">
      <c r="D315" s="8">
        <f>COUNTIFS(Attendance_Log!$C$2:$C$1001,A315,Attendance_Log!$D$2:$D$1001,B315,Attendance_Log!$O$2:$O$1001,"อนุมัติ",Attendance_Log!$K$2:$K$1001,"ผ่าน")</f>
        <v/>
      </c>
      <c r="E315" s="8">
        <f>SUMIFS(Green_Star_Requests!$H$2:$H$501,Green_Star_Requests!$B$2:$B$501,A315,Green_Star_Requests!$C$2:$C$501,B315,Green_Star_Requests!$J$2:$J$501,"อนุมัติ")</f>
        <v/>
      </c>
      <c r="F315" s="8">
        <f>D315+E315</f>
        <v/>
      </c>
      <c r="G315" s="8">
        <f>MAX(0,12-D315)</f>
        <v/>
      </c>
    </row>
    <row r="316">
      <c r="D316" s="8">
        <f>COUNTIFS(Attendance_Log!$C$2:$C$1001,A316,Attendance_Log!$D$2:$D$1001,B316,Attendance_Log!$O$2:$O$1001,"อนุมัติ",Attendance_Log!$K$2:$K$1001,"ผ่าน")</f>
        <v/>
      </c>
      <c r="E316" s="8">
        <f>SUMIFS(Green_Star_Requests!$H$2:$H$501,Green_Star_Requests!$B$2:$B$501,A316,Green_Star_Requests!$C$2:$C$501,B316,Green_Star_Requests!$J$2:$J$501,"อนุมัติ")</f>
        <v/>
      </c>
      <c r="F316" s="8">
        <f>D316+E316</f>
        <v/>
      </c>
      <c r="G316" s="8">
        <f>MAX(0,12-D316)</f>
        <v/>
      </c>
    </row>
    <row r="317">
      <c r="D317" s="8">
        <f>COUNTIFS(Attendance_Log!$C$2:$C$1001,A317,Attendance_Log!$D$2:$D$1001,B317,Attendance_Log!$O$2:$O$1001,"อนุมัติ",Attendance_Log!$K$2:$K$1001,"ผ่าน")</f>
        <v/>
      </c>
      <c r="E317" s="8">
        <f>SUMIFS(Green_Star_Requests!$H$2:$H$501,Green_Star_Requests!$B$2:$B$501,A317,Green_Star_Requests!$C$2:$C$501,B317,Green_Star_Requests!$J$2:$J$501,"อนุมัติ")</f>
        <v/>
      </c>
      <c r="F317" s="8">
        <f>D317+E317</f>
        <v/>
      </c>
      <c r="G317" s="8">
        <f>MAX(0,12-D317)</f>
        <v/>
      </c>
    </row>
    <row r="318">
      <c r="D318" s="8">
        <f>COUNTIFS(Attendance_Log!$C$2:$C$1001,A318,Attendance_Log!$D$2:$D$1001,B318,Attendance_Log!$O$2:$O$1001,"อนุมัติ",Attendance_Log!$K$2:$K$1001,"ผ่าน")</f>
        <v/>
      </c>
      <c r="E318" s="8">
        <f>SUMIFS(Green_Star_Requests!$H$2:$H$501,Green_Star_Requests!$B$2:$B$501,A318,Green_Star_Requests!$C$2:$C$501,B318,Green_Star_Requests!$J$2:$J$501,"อนุมัติ")</f>
        <v/>
      </c>
      <c r="F318" s="8">
        <f>D318+E318</f>
        <v/>
      </c>
      <c r="G318" s="8">
        <f>MAX(0,12-D318)</f>
        <v/>
      </c>
    </row>
    <row r="319">
      <c r="D319" s="8">
        <f>COUNTIFS(Attendance_Log!$C$2:$C$1001,A319,Attendance_Log!$D$2:$D$1001,B319,Attendance_Log!$O$2:$O$1001,"อนุมัติ",Attendance_Log!$K$2:$K$1001,"ผ่าน")</f>
        <v/>
      </c>
      <c r="E319" s="8">
        <f>SUMIFS(Green_Star_Requests!$H$2:$H$501,Green_Star_Requests!$B$2:$B$501,A319,Green_Star_Requests!$C$2:$C$501,B319,Green_Star_Requests!$J$2:$J$501,"อนุมัติ")</f>
        <v/>
      </c>
      <c r="F319" s="8">
        <f>D319+E319</f>
        <v/>
      </c>
      <c r="G319" s="8">
        <f>MAX(0,12-D319)</f>
        <v/>
      </c>
    </row>
    <row r="320">
      <c r="D320" s="8">
        <f>COUNTIFS(Attendance_Log!$C$2:$C$1001,A320,Attendance_Log!$D$2:$D$1001,B320,Attendance_Log!$O$2:$O$1001,"อนุมัติ",Attendance_Log!$K$2:$K$1001,"ผ่าน")</f>
        <v/>
      </c>
      <c r="E320" s="8">
        <f>SUMIFS(Green_Star_Requests!$H$2:$H$501,Green_Star_Requests!$B$2:$B$501,A320,Green_Star_Requests!$C$2:$C$501,B320,Green_Star_Requests!$J$2:$J$501,"อนุมัติ")</f>
        <v/>
      </c>
      <c r="F320" s="8">
        <f>D320+E320</f>
        <v/>
      </c>
      <c r="G320" s="8">
        <f>MAX(0,12-D320)</f>
        <v/>
      </c>
    </row>
    <row r="321">
      <c r="D321" s="8">
        <f>COUNTIFS(Attendance_Log!$C$2:$C$1001,A321,Attendance_Log!$D$2:$D$1001,B321,Attendance_Log!$O$2:$O$1001,"อนุมัติ",Attendance_Log!$K$2:$K$1001,"ผ่าน")</f>
        <v/>
      </c>
      <c r="E321" s="8">
        <f>SUMIFS(Green_Star_Requests!$H$2:$H$501,Green_Star_Requests!$B$2:$B$501,A321,Green_Star_Requests!$C$2:$C$501,B321,Green_Star_Requests!$J$2:$J$501,"อนุมัติ")</f>
        <v/>
      </c>
      <c r="F321" s="8">
        <f>D321+E321</f>
        <v/>
      </c>
      <c r="G321" s="8">
        <f>MAX(0,12-D321)</f>
        <v/>
      </c>
    </row>
    <row r="322">
      <c r="D322" s="8">
        <f>COUNTIFS(Attendance_Log!$C$2:$C$1001,A322,Attendance_Log!$D$2:$D$1001,B322,Attendance_Log!$O$2:$O$1001,"อนุมัติ",Attendance_Log!$K$2:$K$1001,"ผ่าน")</f>
        <v/>
      </c>
      <c r="E322" s="8">
        <f>SUMIFS(Green_Star_Requests!$H$2:$H$501,Green_Star_Requests!$B$2:$B$501,A322,Green_Star_Requests!$C$2:$C$501,B322,Green_Star_Requests!$J$2:$J$501,"อนุมัติ")</f>
        <v/>
      </c>
      <c r="F322" s="8">
        <f>D322+E322</f>
        <v/>
      </c>
      <c r="G322" s="8">
        <f>MAX(0,12-D322)</f>
        <v/>
      </c>
    </row>
    <row r="323">
      <c r="D323" s="8">
        <f>COUNTIFS(Attendance_Log!$C$2:$C$1001,A323,Attendance_Log!$D$2:$D$1001,B323,Attendance_Log!$O$2:$O$1001,"อนุมัติ",Attendance_Log!$K$2:$K$1001,"ผ่าน")</f>
        <v/>
      </c>
      <c r="E323" s="8">
        <f>SUMIFS(Green_Star_Requests!$H$2:$H$501,Green_Star_Requests!$B$2:$B$501,A323,Green_Star_Requests!$C$2:$C$501,B323,Green_Star_Requests!$J$2:$J$501,"อนุมัติ")</f>
        <v/>
      </c>
      <c r="F323" s="8">
        <f>D323+E323</f>
        <v/>
      </c>
      <c r="G323" s="8">
        <f>MAX(0,12-D323)</f>
        <v/>
      </c>
    </row>
    <row r="324">
      <c r="D324" s="8">
        <f>COUNTIFS(Attendance_Log!$C$2:$C$1001,A324,Attendance_Log!$D$2:$D$1001,B324,Attendance_Log!$O$2:$O$1001,"อนุมัติ",Attendance_Log!$K$2:$K$1001,"ผ่าน")</f>
        <v/>
      </c>
      <c r="E324" s="8">
        <f>SUMIFS(Green_Star_Requests!$H$2:$H$501,Green_Star_Requests!$B$2:$B$501,A324,Green_Star_Requests!$C$2:$C$501,B324,Green_Star_Requests!$J$2:$J$501,"อนุมัติ")</f>
        <v/>
      </c>
      <c r="F324" s="8">
        <f>D324+E324</f>
        <v/>
      </c>
      <c r="G324" s="8">
        <f>MAX(0,12-D324)</f>
        <v/>
      </c>
    </row>
    <row r="325">
      <c r="D325" s="8">
        <f>COUNTIFS(Attendance_Log!$C$2:$C$1001,A325,Attendance_Log!$D$2:$D$1001,B325,Attendance_Log!$O$2:$O$1001,"อนุมัติ",Attendance_Log!$K$2:$K$1001,"ผ่าน")</f>
        <v/>
      </c>
      <c r="E325" s="8">
        <f>SUMIFS(Green_Star_Requests!$H$2:$H$501,Green_Star_Requests!$B$2:$B$501,A325,Green_Star_Requests!$C$2:$C$501,B325,Green_Star_Requests!$J$2:$J$501,"อนุมัติ")</f>
        <v/>
      </c>
      <c r="F325" s="8">
        <f>D325+E325</f>
        <v/>
      </c>
      <c r="G325" s="8">
        <f>MAX(0,12-D325)</f>
        <v/>
      </c>
    </row>
    <row r="326">
      <c r="D326" s="8">
        <f>COUNTIFS(Attendance_Log!$C$2:$C$1001,A326,Attendance_Log!$D$2:$D$1001,B326,Attendance_Log!$O$2:$O$1001,"อนุมัติ",Attendance_Log!$K$2:$K$1001,"ผ่าน")</f>
        <v/>
      </c>
      <c r="E326" s="8">
        <f>SUMIFS(Green_Star_Requests!$H$2:$H$501,Green_Star_Requests!$B$2:$B$501,A326,Green_Star_Requests!$C$2:$C$501,B326,Green_Star_Requests!$J$2:$J$501,"อนุมัติ")</f>
        <v/>
      </c>
      <c r="F326" s="8">
        <f>D326+E326</f>
        <v/>
      </c>
      <c r="G326" s="8">
        <f>MAX(0,12-D326)</f>
        <v/>
      </c>
    </row>
    <row r="327">
      <c r="D327" s="8">
        <f>COUNTIFS(Attendance_Log!$C$2:$C$1001,A327,Attendance_Log!$D$2:$D$1001,B327,Attendance_Log!$O$2:$O$1001,"อนุมัติ",Attendance_Log!$K$2:$K$1001,"ผ่าน")</f>
        <v/>
      </c>
      <c r="E327" s="8">
        <f>SUMIFS(Green_Star_Requests!$H$2:$H$501,Green_Star_Requests!$B$2:$B$501,A327,Green_Star_Requests!$C$2:$C$501,B327,Green_Star_Requests!$J$2:$J$501,"อนุมัติ")</f>
        <v/>
      </c>
      <c r="F327" s="8">
        <f>D327+E327</f>
        <v/>
      </c>
      <c r="G327" s="8">
        <f>MAX(0,12-D327)</f>
        <v/>
      </c>
    </row>
    <row r="328">
      <c r="D328" s="8">
        <f>COUNTIFS(Attendance_Log!$C$2:$C$1001,A328,Attendance_Log!$D$2:$D$1001,B328,Attendance_Log!$O$2:$O$1001,"อนุมัติ",Attendance_Log!$K$2:$K$1001,"ผ่าน")</f>
        <v/>
      </c>
      <c r="E328" s="8">
        <f>SUMIFS(Green_Star_Requests!$H$2:$H$501,Green_Star_Requests!$B$2:$B$501,A328,Green_Star_Requests!$C$2:$C$501,B328,Green_Star_Requests!$J$2:$J$501,"อนุมัติ")</f>
        <v/>
      </c>
      <c r="F328" s="8">
        <f>D328+E328</f>
        <v/>
      </c>
      <c r="G328" s="8">
        <f>MAX(0,12-D328)</f>
        <v/>
      </c>
    </row>
    <row r="329">
      <c r="D329" s="8">
        <f>COUNTIFS(Attendance_Log!$C$2:$C$1001,A329,Attendance_Log!$D$2:$D$1001,B329,Attendance_Log!$O$2:$O$1001,"อนุมัติ",Attendance_Log!$K$2:$K$1001,"ผ่าน")</f>
        <v/>
      </c>
      <c r="E329" s="8">
        <f>SUMIFS(Green_Star_Requests!$H$2:$H$501,Green_Star_Requests!$B$2:$B$501,A329,Green_Star_Requests!$C$2:$C$501,B329,Green_Star_Requests!$J$2:$J$501,"อนุมัติ")</f>
        <v/>
      </c>
      <c r="F329" s="8">
        <f>D329+E329</f>
        <v/>
      </c>
      <c r="G329" s="8">
        <f>MAX(0,12-D329)</f>
        <v/>
      </c>
    </row>
    <row r="330">
      <c r="D330" s="8">
        <f>COUNTIFS(Attendance_Log!$C$2:$C$1001,A330,Attendance_Log!$D$2:$D$1001,B330,Attendance_Log!$O$2:$O$1001,"อนุมัติ",Attendance_Log!$K$2:$K$1001,"ผ่าน")</f>
        <v/>
      </c>
      <c r="E330" s="8">
        <f>SUMIFS(Green_Star_Requests!$H$2:$H$501,Green_Star_Requests!$B$2:$B$501,A330,Green_Star_Requests!$C$2:$C$501,B330,Green_Star_Requests!$J$2:$J$501,"อนุมัติ")</f>
        <v/>
      </c>
      <c r="F330" s="8">
        <f>D330+E330</f>
        <v/>
      </c>
      <c r="G330" s="8">
        <f>MAX(0,12-D330)</f>
        <v/>
      </c>
    </row>
    <row r="331">
      <c r="D331" s="8">
        <f>COUNTIFS(Attendance_Log!$C$2:$C$1001,A331,Attendance_Log!$D$2:$D$1001,B331,Attendance_Log!$O$2:$O$1001,"อนุมัติ",Attendance_Log!$K$2:$K$1001,"ผ่าน")</f>
        <v/>
      </c>
      <c r="E331" s="8">
        <f>SUMIFS(Green_Star_Requests!$H$2:$H$501,Green_Star_Requests!$B$2:$B$501,A331,Green_Star_Requests!$C$2:$C$501,B331,Green_Star_Requests!$J$2:$J$501,"อนุมัติ")</f>
        <v/>
      </c>
      <c r="F331" s="8">
        <f>D331+E331</f>
        <v/>
      </c>
      <c r="G331" s="8">
        <f>MAX(0,12-D331)</f>
        <v/>
      </c>
    </row>
    <row r="332">
      <c r="D332" s="8">
        <f>COUNTIFS(Attendance_Log!$C$2:$C$1001,A332,Attendance_Log!$D$2:$D$1001,B332,Attendance_Log!$O$2:$O$1001,"อนุมัติ",Attendance_Log!$K$2:$K$1001,"ผ่าน")</f>
        <v/>
      </c>
      <c r="E332" s="8">
        <f>SUMIFS(Green_Star_Requests!$H$2:$H$501,Green_Star_Requests!$B$2:$B$501,A332,Green_Star_Requests!$C$2:$C$501,B332,Green_Star_Requests!$J$2:$J$501,"อนุมัติ")</f>
        <v/>
      </c>
      <c r="F332" s="8">
        <f>D332+E332</f>
        <v/>
      </c>
      <c r="G332" s="8">
        <f>MAX(0,12-D332)</f>
        <v/>
      </c>
    </row>
    <row r="333">
      <c r="D333" s="8">
        <f>COUNTIFS(Attendance_Log!$C$2:$C$1001,A333,Attendance_Log!$D$2:$D$1001,B333,Attendance_Log!$O$2:$O$1001,"อนุมัติ",Attendance_Log!$K$2:$K$1001,"ผ่าน")</f>
        <v/>
      </c>
      <c r="E333" s="8">
        <f>SUMIFS(Green_Star_Requests!$H$2:$H$501,Green_Star_Requests!$B$2:$B$501,A333,Green_Star_Requests!$C$2:$C$501,B333,Green_Star_Requests!$J$2:$J$501,"อนุมัติ")</f>
        <v/>
      </c>
      <c r="F333" s="8">
        <f>D333+E333</f>
        <v/>
      </c>
      <c r="G333" s="8">
        <f>MAX(0,12-D333)</f>
        <v/>
      </c>
    </row>
    <row r="334">
      <c r="D334" s="8">
        <f>COUNTIFS(Attendance_Log!$C$2:$C$1001,A334,Attendance_Log!$D$2:$D$1001,B334,Attendance_Log!$O$2:$O$1001,"อนุมัติ",Attendance_Log!$K$2:$K$1001,"ผ่าน")</f>
        <v/>
      </c>
      <c r="E334" s="8">
        <f>SUMIFS(Green_Star_Requests!$H$2:$H$501,Green_Star_Requests!$B$2:$B$501,A334,Green_Star_Requests!$C$2:$C$501,B334,Green_Star_Requests!$J$2:$J$501,"อนุมัติ")</f>
        <v/>
      </c>
      <c r="F334" s="8">
        <f>D334+E334</f>
        <v/>
      </c>
      <c r="G334" s="8">
        <f>MAX(0,12-D334)</f>
        <v/>
      </c>
    </row>
    <row r="335">
      <c r="D335" s="8">
        <f>COUNTIFS(Attendance_Log!$C$2:$C$1001,A335,Attendance_Log!$D$2:$D$1001,B335,Attendance_Log!$O$2:$O$1001,"อนุมัติ",Attendance_Log!$K$2:$K$1001,"ผ่าน")</f>
        <v/>
      </c>
      <c r="E335" s="8">
        <f>SUMIFS(Green_Star_Requests!$H$2:$H$501,Green_Star_Requests!$B$2:$B$501,A335,Green_Star_Requests!$C$2:$C$501,B335,Green_Star_Requests!$J$2:$J$501,"อนุมัติ")</f>
        <v/>
      </c>
      <c r="F335" s="8">
        <f>D335+E335</f>
        <v/>
      </c>
      <c r="G335" s="8">
        <f>MAX(0,12-D335)</f>
        <v/>
      </c>
    </row>
    <row r="336">
      <c r="D336" s="8">
        <f>COUNTIFS(Attendance_Log!$C$2:$C$1001,A336,Attendance_Log!$D$2:$D$1001,B336,Attendance_Log!$O$2:$O$1001,"อนุมัติ",Attendance_Log!$K$2:$K$1001,"ผ่าน")</f>
        <v/>
      </c>
      <c r="E336" s="8">
        <f>SUMIFS(Green_Star_Requests!$H$2:$H$501,Green_Star_Requests!$B$2:$B$501,A336,Green_Star_Requests!$C$2:$C$501,B336,Green_Star_Requests!$J$2:$J$501,"อนุมัติ")</f>
        <v/>
      </c>
      <c r="F336" s="8">
        <f>D336+E336</f>
        <v/>
      </c>
      <c r="G336" s="8">
        <f>MAX(0,12-D336)</f>
        <v/>
      </c>
    </row>
    <row r="337">
      <c r="D337" s="8">
        <f>COUNTIFS(Attendance_Log!$C$2:$C$1001,A337,Attendance_Log!$D$2:$D$1001,B337,Attendance_Log!$O$2:$O$1001,"อนุมัติ",Attendance_Log!$K$2:$K$1001,"ผ่าน")</f>
        <v/>
      </c>
      <c r="E337" s="8">
        <f>SUMIFS(Green_Star_Requests!$H$2:$H$501,Green_Star_Requests!$B$2:$B$501,A337,Green_Star_Requests!$C$2:$C$501,B337,Green_Star_Requests!$J$2:$J$501,"อนุมัติ")</f>
        <v/>
      </c>
      <c r="F337" s="8">
        <f>D337+E337</f>
        <v/>
      </c>
      <c r="G337" s="8">
        <f>MAX(0,12-D337)</f>
        <v/>
      </c>
    </row>
    <row r="338">
      <c r="D338" s="8">
        <f>COUNTIFS(Attendance_Log!$C$2:$C$1001,A338,Attendance_Log!$D$2:$D$1001,B338,Attendance_Log!$O$2:$O$1001,"อนุมัติ",Attendance_Log!$K$2:$K$1001,"ผ่าน")</f>
        <v/>
      </c>
      <c r="E338" s="8">
        <f>SUMIFS(Green_Star_Requests!$H$2:$H$501,Green_Star_Requests!$B$2:$B$501,A338,Green_Star_Requests!$C$2:$C$501,B338,Green_Star_Requests!$J$2:$J$501,"อนุมัติ")</f>
        <v/>
      </c>
      <c r="F338" s="8">
        <f>D338+E338</f>
        <v/>
      </c>
      <c r="G338" s="8">
        <f>MAX(0,12-D338)</f>
        <v/>
      </c>
    </row>
    <row r="339">
      <c r="D339" s="8">
        <f>COUNTIFS(Attendance_Log!$C$2:$C$1001,A339,Attendance_Log!$D$2:$D$1001,B339,Attendance_Log!$O$2:$O$1001,"อนุมัติ",Attendance_Log!$K$2:$K$1001,"ผ่าน")</f>
        <v/>
      </c>
      <c r="E339" s="8">
        <f>SUMIFS(Green_Star_Requests!$H$2:$H$501,Green_Star_Requests!$B$2:$B$501,A339,Green_Star_Requests!$C$2:$C$501,B339,Green_Star_Requests!$J$2:$J$501,"อนุมัติ")</f>
        <v/>
      </c>
      <c r="F339" s="8">
        <f>D339+E339</f>
        <v/>
      </c>
      <c r="G339" s="8">
        <f>MAX(0,12-D339)</f>
        <v/>
      </c>
    </row>
    <row r="340">
      <c r="D340" s="8">
        <f>COUNTIFS(Attendance_Log!$C$2:$C$1001,A340,Attendance_Log!$D$2:$D$1001,B340,Attendance_Log!$O$2:$O$1001,"อนุมัติ",Attendance_Log!$K$2:$K$1001,"ผ่าน")</f>
        <v/>
      </c>
      <c r="E340" s="8">
        <f>SUMIFS(Green_Star_Requests!$H$2:$H$501,Green_Star_Requests!$B$2:$B$501,A340,Green_Star_Requests!$C$2:$C$501,B340,Green_Star_Requests!$J$2:$J$501,"อนุมัติ")</f>
        <v/>
      </c>
      <c r="F340" s="8">
        <f>D340+E340</f>
        <v/>
      </c>
      <c r="G340" s="8">
        <f>MAX(0,12-D340)</f>
        <v/>
      </c>
    </row>
    <row r="341">
      <c r="D341" s="8">
        <f>COUNTIFS(Attendance_Log!$C$2:$C$1001,A341,Attendance_Log!$D$2:$D$1001,B341,Attendance_Log!$O$2:$O$1001,"อนุมัติ",Attendance_Log!$K$2:$K$1001,"ผ่าน")</f>
        <v/>
      </c>
      <c r="E341" s="8">
        <f>SUMIFS(Green_Star_Requests!$H$2:$H$501,Green_Star_Requests!$B$2:$B$501,A341,Green_Star_Requests!$C$2:$C$501,B341,Green_Star_Requests!$J$2:$J$501,"อนุมัติ")</f>
        <v/>
      </c>
      <c r="F341" s="8">
        <f>D341+E341</f>
        <v/>
      </c>
      <c r="G341" s="8">
        <f>MAX(0,12-D341)</f>
        <v/>
      </c>
    </row>
    <row r="342">
      <c r="D342" s="8">
        <f>COUNTIFS(Attendance_Log!$C$2:$C$1001,A342,Attendance_Log!$D$2:$D$1001,B342,Attendance_Log!$O$2:$O$1001,"อนุมัติ",Attendance_Log!$K$2:$K$1001,"ผ่าน")</f>
        <v/>
      </c>
      <c r="E342" s="8">
        <f>SUMIFS(Green_Star_Requests!$H$2:$H$501,Green_Star_Requests!$B$2:$B$501,A342,Green_Star_Requests!$C$2:$C$501,B342,Green_Star_Requests!$J$2:$J$501,"อนุมัติ")</f>
        <v/>
      </c>
      <c r="F342" s="8">
        <f>D342+E342</f>
        <v/>
      </c>
      <c r="G342" s="8">
        <f>MAX(0,12-D342)</f>
        <v/>
      </c>
    </row>
    <row r="343">
      <c r="D343" s="8">
        <f>COUNTIFS(Attendance_Log!$C$2:$C$1001,A343,Attendance_Log!$D$2:$D$1001,B343,Attendance_Log!$O$2:$O$1001,"อนุมัติ",Attendance_Log!$K$2:$K$1001,"ผ่าน")</f>
        <v/>
      </c>
      <c r="E343" s="8">
        <f>SUMIFS(Green_Star_Requests!$H$2:$H$501,Green_Star_Requests!$B$2:$B$501,A343,Green_Star_Requests!$C$2:$C$501,B343,Green_Star_Requests!$J$2:$J$501,"อนุมัติ")</f>
        <v/>
      </c>
      <c r="F343" s="8">
        <f>D343+E343</f>
        <v/>
      </c>
      <c r="G343" s="8">
        <f>MAX(0,12-D343)</f>
        <v/>
      </c>
    </row>
    <row r="344">
      <c r="D344" s="8">
        <f>COUNTIFS(Attendance_Log!$C$2:$C$1001,A344,Attendance_Log!$D$2:$D$1001,B344,Attendance_Log!$O$2:$O$1001,"อนุมัติ",Attendance_Log!$K$2:$K$1001,"ผ่าน")</f>
        <v/>
      </c>
      <c r="E344" s="8">
        <f>SUMIFS(Green_Star_Requests!$H$2:$H$501,Green_Star_Requests!$B$2:$B$501,A344,Green_Star_Requests!$C$2:$C$501,B344,Green_Star_Requests!$J$2:$J$501,"อนุมัติ")</f>
        <v/>
      </c>
      <c r="F344" s="8">
        <f>D344+E344</f>
        <v/>
      </c>
      <c r="G344" s="8">
        <f>MAX(0,12-D344)</f>
        <v/>
      </c>
    </row>
    <row r="345">
      <c r="D345" s="8">
        <f>COUNTIFS(Attendance_Log!$C$2:$C$1001,A345,Attendance_Log!$D$2:$D$1001,B345,Attendance_Log!$O$2:$O$1001,"อนุมัติ",Attendance_Log!$K$2:$K$1001,"ผ่าน")</f>
        <v/>
      </c>
      <c r="E345" s="8">
        <f>SUMIFS(Green_Star_Requests!$H$2:$H$501,Green_Star_Requests!$B$2:$B$501,A345,Green_Star_Requests!$C$2:$C$501,B345,Green_Star_Requests!$J$2:$J$501,"อนุมัติ")</f>
        <v/>
      </c>
      <c r="F345" s="8">
        <f>D345+E345</f>
        <v/>
      </c>
      <c r="G345" s="8">
        <f>MAX(0,12-D345)</f>
        <v/>
      </c>
    </row>
    <row r="346">
      <c r="D346" s="8">
        <f>COUNTIFS(Attendance_Log!$C$2:$C$1001,A346,Attendance_Log!$D$2:$D$1001,B346,Attendance_Log!$O$2:$O$1001,"อนุมัติ",Attendance_Log!$K$2:$K$1001,"ผ่าน")</f>
        <v/>
      </c>
      <c r="E346" s="8">
        <f>SUMIFS(Green_Star_Requests!$H$2:$H$501,Green_Star_Requests!$B$2:$B$501,A346,Green_Star_Requests!$C$2:$C$501,B346,Green_Star_Requests!$J$2:$J$501,"อนุมัติ")</f>
        <v/>
      </c>
      <c r="F346" s="8">
        <f>D346+E346</f>
        <v/>
      </c>
      <c r="G346" s="8">
        <f>MAX(0,12-D346)</f>
        <v/>
      </c>
    </row>
    <row r="347">
      <c r="D347" s="8">
        <f>COUNTIFS(Attendance_Log!$C$2:$C$1001,A347,Attendance_Log!$D$2:$D$1001,B347,Attendance_Log!$O$2:$O$1001,"อนุมัติ",Attendance_Log!$K$2:$K$1001,"ผ่าน")</f>
        <v/>
      </c>
      <c r="E347" s="8">
        <f>SUMIFS(Green_Star_Requests!$H$2:$H$501,Green_Star_Requests!$B$2:$B$501,A347,Green_Star_Requests!$C$2:$C$501,B347,Green_Star_Requests!$J$2:$J$501,"อนุมัติ")</f>
        <v/>
      </c>
      <c r="F347" s="8">
        <f>D347+E347</f>
        <v/>
      </c>
      <c r="G347" s="8">
        <f>MAX(0,12-D347)</f>
        <v/>
      </c>
    </row>
    <row r="348">
      <c r="D348" s="8">
        <f>COUNTIFS(Attendance_Log!$C$2:$C$1001,A348,Attendance_Log!$D$2:$D$1001,B348,Attendance_Log!$O$2:$O$1001,"อนุมัติ",Attendance_Log!$K$2:$K$1001,"ผ่าน")</f>
        <v/>
      </c>
      <c r="E348" s="8">
        <f>SUMIFS(Green_Star_Requests!$H$2:$H$501,Green_Star_Requests!$B$2:$B$501,A348,Green_Star_Requests!$C$2:$C$501,B348,Green_Star_Requests!$J$2:$J$501,"อนุมัติ")</f>
        <v/>
      </c>
      <c r="F348" s="8">
        <f>D348+E348</f>
        <v/>
      </c>
      <c r="G348" s="8">
        <f>MAX(0,12-D348)</f>
        <v/>
      </c>
    </row>
    <row r="349">
      <c r="D349" s="8">
        <f>COUNTIFS(Attendance_Log!$C$2:$C$1001,A349,Attendance_Log!$D$2:$D$1001,B349,Attendance_Log!$O$2:$O$1001,"อนุมัติ",Attendance_Log!$K$2:$K$1001,"ผ่าน")</f>
        <v/>
      </c>
      <c r="E349" s="8">
        <f>SUMIFS(Green_Star_Requests!$H$2:$H$501,Green_Star_Requests!$B$2:$B$501,A349,Green_Star_Requests!$C$2:$C$501,B349,Green_Star_Requests!$J$2:$J$501,"อนุมัติ")</f>
        <v/>
      </c>
      <c r="F349" s="8">
        <f>D349+E349</f>
        <v/>
      </c>
      <c r="G349" s="8">
        <f>MAX(0,12-D349)</f>
        <v/>
      </c>
    </row>
    <row r="350">
      <c r="D350" s="8">
        <f>COUNTIFS(Attendance_Log!$C$2:$C$1001,A350,Attendance_Log!$D$2:$D$1001,B350,Attendance_Log!$O$2:$O$1001,"อนุมัติ",Attendance_Log!$K$2:$K$1001,"ผ่าน")</f>
        <v/>
      </c>
      <c r="E350" s="8">
        <f>SUMIFS(Green_Star_Requests!$H$2:$H$501,Green_Star_Requests!$B$2:$B$501,A350,Green_Star_Requests!$C$2:$C$501,B350,Green_Star_Requests!$J$2:$J$501,"อนุมัติ")</f>
        <v/>
      </c>
      <c r="F350" s="8">
        <f>D350+E350</f>
        <v/>
      </c>
      <c r="G350" s="8">
        <f>MAX(0,12-D350)</f>
        <v/>
      </c>
    </row>
    <row r="351">
      <c r="D351" s="8">
        <f>COUNTIFS(Attendance_Log!$C$2:$C$1001,A351,Attendance_Log!$D$2:$D$1001,B351,Attendance_Log!$O$2:$O$1001,"อนุมัติ",Attendance_Log!$K$2:$K$1001,"ผ่าน")</f>
        <v/>
      </c>
      <c r="E351" s="8">
        <f>SUMIFS(Green_Star_Requests!$H$2:$H$501,Green_Star_Requests!$B$2:$B$501,A351,Green_Star_Requests!$C$2:$C$501,B351,Green_Star_Requests!$J$2:$J$501,"อนุมัติ")</f>
        <v/>
      </c>
      <c r="F351" s="8">
        <f>D351+E351</f>
        <v/>
      </c>
      <c r="G351" s="8">
        <f>MAX(0,12-D351)</f>
        <v/>
      </c>
    </row>
    <row r="352">
      <c r="D352" s="8">
        <f>COUNTIFS(Attendance_Log!$C$2:$C$1001,A352,Attendance_Log!$D$2:$D$1001,B352,Attendance_Log!$O$2:$O$1001,"อนุมัติ",Attendance_Log!$K$2:$K$1001,"ผ่าน")</f>
        <v/>
      </c>
      <c r="E352" s="8">
        <f>SUMIFS(Green_Star_Requests!$H$2:$H$501,Green_Star_Requests!$B$2:$B$501,A352,Green_Star_Requests!$C$2:$C$501,B352,Green_Star_Requests!$J$2:$J$501,"อนุมัติ")</f>
        <v/>
      </c>
      <c r="F352" s="8">
        <f>D352+E352</f>
        <v/>
      </c>
      <c r="G352" s="8">
        <f>MAX(0,12-D352)</f>
        <v/>
      </c>
    </row>
    <row r="353">
      <c r="D353" s="8">
        <f>COUNTIFS(Attendance_Log!$C$2:$C$1001,A353,Attendance_Log!$D$2:$D$1001,B353,Attendance_Log!$O$2:$O$1001,"อนุมัติ",Attendance_Log!$K$2:$K$1001,"ผ่าน")</f>
        <v/>
      </c>
      <c r="E353" s="8">
        <f>SUMIFS(Green_Star_Requests!$H$2:$H$501,Green_Star_Requests!$B$2:$B$501,A353,Green_Star_Requests!$C$2:$C$501,B353,Green_Star_Requests!$J$2:$J$501,"อนุมัติ")</f>
        <v/>
      </c>
      <c r="F353" s="8">
        <f>D353+E353</f>
        <v/>
      </c>
      <c r="G353" s="8">
        <f>MAX(0,12-D353)</f>
        <v/>
      </c>
    </row>
    <row r="354">
      <c r="D354" s="8">
        <f>COUNTIFS(Attendance_Log!$C$2:$C$1001,A354,Attendance_Log!$D$2:$D$1001,B354,Attendance_Log!$O$2:$O$1001,"อนุมัติ",Attendance_Log!$K$2:$K$1001,"ผ่าน")</f>
        <v/>
      </c>
      <c r="E354" s="8">
        <f>SUMIFS(Green_Star_Requests!$H$2:$H$501,Green_Star_Requests!$B$2:$B$501,A354,Green_Star_Requests!$C$2:$C$501,B354,Green_Star_Requests!$J$2:$J$501,"อนุมัติ")</f>
        <v/>
      </c>
      <c r="F354" s="8">
        <f>D354+E354</f>
        <v/>
      </c>
      <c r="G354" s="8">
        <f>MAX(0,12-D354)</f>
        <v/>
      </c>
    </row>
    <row r="355">
      <c r="D355" s="8">
        <f>COUNTIFS(Attendance_Log!$C$2:$C$1001,A355,Attendance_Log!$D$2:$D$1001,B355,Attendance_Log!$O$2:$O$1001,"อนุมัติ",Attendance_Log!$K$2:$K$1001,"ผ่าน")</f>
        <v/>
      </c>
      <c r="E355" s="8">
        <f>SUMIFS(Green_Star_Requests!$H$2:$H$501,Green_Star_Requests!$B$2:$B$501,A355,Green_Star_Requests!$C$2:$C$501,B355,Green_Star_Requests!$J$2:$J$501,"อนุมัติ")</f>
        <v/>
      </c>
      <c r="F355" s="8">
        <f>D355+E355</f>
        <v/>
      </c>
      <c r="G355" s="8">
        <f>MAX(0,12-D355)</f>
        <v/>
      </c>
    </row>
    <row r="356">
      <c r="D356" s="8">
        <f>COUNTIFS(Attendance_Log!$C$2:$C$1001,A356,Attendance_Log!$D$2:$D$1001,B356,Attendance_Log!$O$2:$O$1001,"อนุมัติ",Attendance_Log!$K$2:$K$1001,"ผ่าน")</f>
        <v/>
      </c>
      <c r="E356" s="8">
        <f>SUMIFS(Green_Star_Requests!$H$2:$H$501,Green_Star_Requests!$B$2:$B$501,A356,Green_Star_Requests!$C$2:$C$501,B356,Green_Star_Requests!$J$2:$J$501,"อนุมัติ")</f>
        <v/>
      </c>
      <c r="F356" s="8">
        <f>D356+E356</f>
        <v/>
      </c>
      <c r="G356" s="8">
        <f>MAX(0,12-D356)</f>
        <v/>
      </c>
    </row>
    <row r="357">
      <c r="D357" s="8">
        <f>COUNTIFS(Attendance_Log!$C$2:$C$1001,A357,Attendance_Log!$D$2:$D$1001,B357,Attendance_Log!$O$2:$O$1001,"อนุมัติ",Attendance_Log!$K$2:$K$1001,"ผ่าน")</f>
        <v/>
      </c>
      <c r="E357" s="8">
        <f>SUMIFS(Green_Star_Requests!$H$2:$H$501,Green_Star_Requests!$B$2:$B$501,A357,Green_Star_Requests!$C$2:$C$501,B357,Green_Star_Requests!$J$2:$J$501,"อนุมัติ")</f>
        <v/>
      </c>
      <c r="F357" s="8">
        <f>D357+E357</f>
        <v/>
      </c>
      <c r="G357" s="8">
        <f>MAX(0,12-D357)</f>
        <v/>
      </c>
    </row>
    <row r="358">
      <c r="D358" s="8">
        <f>COUNTIFS(Attendance_Log!$C$2:$C$1001,A358,Attendance_Log!$D$2:$D$1001,B358,Attendance_Log!$O$2:$O$1001,"อนุมัติ",Attendance_Log!$K$2:$K$1001,"ผ่าน")</f>
        <v/>
      </c>
      <c r="E358" s="8">
        <f>SUMIFS(Green_Star_Requests!$H$2:$H$501,Green_Star_Requests!$B$2:$B$501,A358,Green_Star_Requests!$C$2:$C$501,B358,Green_Star_Requests!$J$2:$J$501,"อนุมัติ")</f>
        <v/>
      </c>
      <c r="F358" s="8">
        <f>D358+E358</f>
        <v/>
      </c>
      <c r="G358" s="8">
        <f>MAX(0,12-D358)</f>
        <v/>
      </c>
    </row>
    <row r="359">
      <c r="D359" s="8">
        <f>COUNTIFS(Attendance_Log!$C$2:$C$1001,A359,Attendance_Log!$D$2:$D$1001,B359,Attendance_Log!$O$2:$O$1001,"อนุมัติ",Attendance_Log!$K$2:$K$1001,"ผ่าน")</f>
        <v/>
      </c>
      <c r="E359" s="8">
        <f>SUMIFS(Green_Star_Requests!$H$2:$H$501,Green_Star_Requests!$B$2:$B$501,A359,Green_Star_Requests!$C$2:$C$501,B359,Green_Star_Requests!$J$2:$J$501,"อนุมัติ")</f>
        <v/>
      </c>
      <c r="F359" s="8">
        <f>D359+E359</f>
        <v/>
      </c>
      <c r="G359" s="8">
        <f>MAX(0,12-D359)</f>
        <v/>
      </c>
    </row>
    <row r="360">
      <c r="D360" s="8">
        <f>COUNTIFS(Attendance_Log!$C$2:$C$1001,A360,Attendance_Log!$D$2:$D$1001,B360,Attendance_Log!$O$2:$O$1001,"อนุมัติ",Attendance_Log!$K$2:$K$1001,"ผ่าน")</f>
        <v/>
      </c>
      <c r="E360" s="8">
        <f>SUMIFS(Green_Star_Requests!$H$2:$H$501,Green_Star_Requests!$B$2:$B$501,A360,Green_Star_Requests!$C$2:$C$501,B360,Green_Star_Requests!$J$2:$J$501,"อนุมัติ")</f>
        <v/>
      </c>
      <c r="F360" s="8">
        <f>D360+E360</f>
        <v/>
      </c>
      <c r="G360" s="8">
        <f>MAX(0,12-D360)</f>
        <v/>
      </c>
    </row>
    <row r="361">
      <c r="D361" s="8">
        <f>COUNTIFS(Attendance_Log!$C$2:$C$1001,A361,Attendance_Log!$D$2:$D$1001,B361,Attendance_Log!$O$2:$O$1001,"อนุมัติ",Attendance_Log!$K$2:$K$1001,"ผ่าน")</f>
        <v/>
      </c>
      <c r="E361" s="8">
        <f>SUMIFS(Green_Star_Requests!$H$2:$H$501,Green_Star_Requests!$B$2:$B$501,A361,Green_Star_Requests!$C$2:$C$501,B361,Green_Star_Requests!$J$2:$J$501,"อนุมัติ")</f>
        <v/>
      </c>
      <c r="F361" s="8">
        <f>D361+E361</f>
        <v/>
      </c>
      <c r="G361" s="8">
        <f>MAX(0,12-D361)</f>
        <v/>
      </c>
    </row>
    <row r="362">
      <c r="D362" s="8">
        <f>COUNTIFS(Attendance_Log!$C$2:$C$1001,A362,Attendance_Log!$D$2:$D$1001,B362,Attendance_Log!$O$2:$O$1001,"อนุมัติ",Attendance_Log!$K$2:$K$1001,"ผ่าน")</f>
        <v/>
      </c>
      <c r="E362" s="8">
        <f>SUMIFS(Green_Star_Requests!$H$2:$H$501,Green_Star_Requests!$B$2:$B$501,A362,Green_Star_Requests!$C$2:$C$501,B362,Green_Star_Requests!$J$2:$J$501,"อนุมัติ")</f>
        <v/>
      </c>
      <c r="F362" s="8">
        <f>D362+E362</f>
        <v/>
      </c>
      <c r="G362" s="8">
        <f>MAX(0,12-D362)</f>
        <v/>
      </c>
    </row>
    <row r="363">
      <c r="D363" s="8">
        <f>COUNTIFS(Attendance_Log!$C$2:$C$1001,A363,Attendance_Log!$D$2:$D$1001,B363,Attendance_Log!$O$2:$O$1001,"อนุมัติ",Attendance_Log!$K$2:$K$1001,"ผ่าน")</f>
        <v/>
      </c>
      <c r="E363" s="8">
        <f>SUMIFS(Green_Star_Requests!$H$2:$H$501,Green_Star_Requests!$B$2:$B$501,A363,Green_Star_Requests!$C$2:$C$501,B363,Green_Star_Requests!$J$2:$J$501,"อนุมัติ")</f>
        <v/>
      </c>
      <c r="F363" s="8">
        <f>D363+E363</f>
        <v/>
      </c>
      <c r="G363" s="8">
        <f>MAX(0,12-D363)</f>
        <v/>
      </c>
    </row>
    <row r="364">
      <c r="D364" s="8">
        <f>COUNTIFS(Attendance_Log!$C$2:$C$1001,A364,Attendance_Log!$D$2:$D$1001,B364,Attendance_Log!$O$2:$O$1001,"อนุมัติ",Attendance_Log!$K$2:$K$1001,"ผ่าน")</f>
        <v/>
      </c>
      <c r="E364" s="8">
        <f>SUMIFS(Green_Star_Requests!$H$2:$H$501,Green_Star_Requests!$B$2:$B$501,A364,Green_Star_Requests!$C$2:$C$501,B364,Green_Star_Requests!$J$2:$J$501,"อนุมัติ")</f>
        <v/>
      </c>
      <c r="F364" s="8">
        <f>D364+E364</f>
        <v/>
      </c>
      <c r="G364" s="8">
        <f>MAX(0,12-D364)</f>
        <v/>
      </c>
    </row>
    <row r="365">
      <c r="D365" s="8">
        <f>COUNTIFS(Attendance_Log!$C$2:$C$1001,A365,Attendance_Log!$D$2:$D$1001,B365,Attendance_Log!$O$2:$O$1001,"อนุมัติ",Attendance_Log!$K$2:$K$1001,"ผ่าน")</f>
        <v/>
      </c>
      <c r="E365" s="8">
        <f>SUMIFS(Green_Star_Requests!$H$2:$H$501,Green_Star_Requests!$B$2:$B$501,A365,Green_Star_Requests!$C$2:$C$501,B365,Green_Star_Requests!$J$2:$J$501,"อนุมัติ")</f>
        <v/>
      </c>
      <c r="F365" s="8">
        <f>D365+E365</f>
        <v/>
      </c>
      <c r="G365" s="8">
        <f>MAX(0,12-D365)</f>
        <v/>
      </c>
    </row>
    <row r="366">
      <c r="D366" s="8">
        <f>COUNTIFS(Attendance_Log!$C$2:$C$1001,A366,Attendance_Log!$D$2:$D$1001,B366,Attendance_Log!$O$2:$O$1001,"อนุมัติ",Attendance_Log!$K$2:$K$1001,"ผ่าน")</f>
        <v/>
      </c>
      <c r="E366" s="8">
        <f>SUMIFS(Green_Star_Requests!$H$2:$H$501,Green_Star_Requests!$B$2:$B$501,A366,Green_Star_Requests!$C$2:$C$501,B366,Green_Star_Requests!$J$2:$J$501,"อนุมัติ")</f>
        <v/>
      </c>
      <c r="F366" s="8">
        <f>D366+E366</f>
        <v/>
      </c>
      <c r="G366" s="8">
        <f>MAX(0,12-D366)</f>
        <v/>
      </c>
    </row>
    <row r="367">
      <c r="D367" s="8">
        <f>COUNTIFS(Attendance_Log!$C$2:$C$1001,A367,Attendance_Log!$D$2:$D$1001,B367,Attendance_Log!$O$2:$O$1001,"อนุมัติ",Attendance_Log!$K$2:$K$1001,"ผ่าน")</f>
        <v/>
      </c>
      <c r="E367" s="8">
        <f>SUMIFS(Green_Star_Requests!$H$2:$H$501,Green_Star_Requests!$B$2:$B$501,A367,Green_Star_Requests!$C$2:$C$501,B367,Green_Star_Requests!$J$2:$J$501,"อนุมัติ")</f>
        <v/>
      </c>
      <c r="F367" s="8">
        <f>D367+E367</f>
        <v/>
      </c>
      <c r="G367" s="8">
        <f>MAX(0,12-D367)</f>
        <v/>
      </c>
    </row>
    <row r="368">
      <c r="D368" s="8">
        <f>COUNTIFS(Attendance_Log!$C$2:$C$1001,A368,Attendance_Log!$D$2:$D$1001,B368,Attendance_Log!$O$2:$O$1001,"อนุมัติ",Attendance_Log!$K$2:$K$1001,"ผ่าน")</f>
        <v/>
      </c>
      <c r="E368" s="8">
        <f>SUMIFS(Green_Star_Requests!$H$2:$H$501,Green_Star_Requests!$B$2:$B$501,A368,Green_Star_Requests!$C$2:$C$501,B368,Green_Star_Requests!$J$2:$J$501,"อนุมัติ")</f>
        <v/>
      </c>
      <c r="F368" s="8">
        <f>D368+E368</f>
        <v/>
      </c>
      <c r="G368" s="8">
        <f>MAX(0,12-D368)</f>
        <v/>
      </c>
    </row>
    <row r="369">
      <c r="D369" s="8">
        <f>COUNTIFS(Attendance_Log!$C$2:$C$1001,A369,Attendance_Log!$D$2:$D$1001,B369,Attendance_Log!$O$2:$O$1001,"อนุมัติ",Attendance_Log!$K$2:$K$1001,"ผ่าน")</f>
        <v/>
      </c>
      <c r="E369" s="8">
        <f>SUMIFS(Green_Star_Requests!$H$2:$H$501,Green_Star_Requests!$B$2:$B$501,A369,Green_Star_Requests!$C$2:$C$501,B369,Green_Star_Requests!$J$2:$J$501,"อนุมัติ")</f>
        <v/>
      </c>
      <c r="F369" s="8">
        <f>D369+E369</f>
        <v/>
      </c>
      <c r="G369" s="8">
        <f>MAX(0,12-D369)</f>
        <v/>
      </c>
    </row>
    <row r="370">
      <c r="D370" s="8">
        <f>COUNTIFS(Attendance_Log!$C$2:$C$1001,A370,Attendance_Log!$D$2:$D$1001,B370,Attendance_Log!$O$2:$O$1001,"อนุมัติ",Attendance_Log!$K$2:$K$1001,"ผ่าน")</f>
        <v/>
      </c>
      <c r="E370" s="8">
        <f>SUMIFS(Green_Star_Requests!$H$2:$H$501,Green_Star_Requests!$B$2:$B$501,A370,Green_Star_Requests!$C$2:$C$501,B370,Green_Star_Requests!$J$2:$J$501,"อนุมัติ")</f>
        <v/>
      </c>
      <c r="F370" s="8">
        <f>D370+E370</f>
        <v/>
      </c>
      <c r="G370" s="8">
        <f>MAX(0,12-D370)</f>
        <v/>
      </c>
    </row>
    <row r="371">
      <c r="D371" s="8">
        <f>COUNTIFS(Attendance_Log!$C$2:$C$1001,A371,Attendance_Log!$D$2:$D$1001,B371,Attendance_Log!$O$2:$O$1001,"อนุมัติ",Attendance_Log!$K$2:$K$1001,"ผ่าน")</f>
        <v/>
      </c>
      <c r="E371" s="8">
        <f>SUMIFS(Green_Star_Requests!$H$2:$H$501,Green_Star_Requests!$B$2:$B$501,A371,Green_Star_Requests!$C$2:$C$501,B371,Green_Star_Requests!$J$2:$J$501,"อนุมัติ")</f>
        <v/>
      </c>
      <c r="F371" s="8">
        <f>D371+E371</f>
        <v/>
      </c>
      <c r="G371" s="8">
        <f>MAX(0,12-D371)</f>
        <v/>
      </c>
    </row>
    <row r="372">
      <c r="D372" s="8">
        <f>COUNTIFS(Attendance_Log!$C$2:$C$1001,A372,Attendance_Log!$D$2:$D$1001,B372,Attendance_Log!$O$2:$O$1001,"อนุมัติ",Attendance_Log!$K$2:$K$1001,"ผ่าน")</f>
        <v/>
      </c>
      <c r="E372" s="8">
        <f>SUMIFS(Green_Star_Requests!$H$2:$H$501,Green_Star_Requests!$B$2:$B$501,A372,Green_Star_Requests!$C$2:$C$501,B372,Green_Star_Requests!$J$2:$J$501,"อนุมัติ")</f>
        <v/>
      </c>
      <c r="F372" s="8">
        <f>D372+E372</f>
        <v/>
      </c>
      <c r="G372" s="8">
        <f>MAX(0,12-D372)</f>
        <v/>
      </c>
    </row>
    <row r="373">
      <c r="D373" s="8">
        <f>COUNTIFS(Attendance_Log!$C$2:$C$1001,A373,Attendance_Log!$D$2:$D$1001,B373,Attendance_Log!$O$2:$O$1001,"อนุมัติ",Attendance_Log!$K$2:$K$1001,"ผ่าน")</f>
        <v/>
      </c>
      <c r="E373" s="8">
        <f>SUMIFS(Green_Star_Requests!$H$2:$H$501,Green_Star_Requests!$B$2:$B$501,A373,Green_Star_Requests!$C$2:$C$501,B373,Green_Star_Requests!$J$2:$J$501,"อนุมัติ")</f>
        <v/>
      </c>
      <c r="F373" s="8">
        <f>D373+E373</f>
        <v/>
      </c>
      <c r="G373" s="8">
        <f>MAX(0,12-D373)</f>
        <v/>
      </c>
    </row>
    <row r="374">
      <c r="D374" s="8">
        <f>COUNTIFS(Attendance_Log!$C$2:$C$1001,A374,Attendance_Log!$D$2:$D$1001,B374,Attendance_Log!$O$2:$O$1001,"อนุมัติ",Attendance_Log!$K$2:$K$1001,"ผ่าน")</f>
        <v/>
      </c>
      <c r="E374" s="8">
        <f>SUMIFS(Green_Star_Requests!$H$2:$H$501,Green_Star_Requests!$B$2:$B$501,A374,Green_Star_Requests!$C$2:$C$501,B374,Green_Star_Requests!$J$2:$J$501,"อนุมัติ")</f>
        <v/>
      </c>
      <c r="F374" s="8">
        <f>D374+E374</f>
        <v/>
      </c>
      <c r="G374" s="8">
        <f>MAX(0,12-D374)</f>
        <v/>
      </c>
    </row>
    <row r="375">
      <c r="D375" s="8">
        <f>COUNTIFS(Attendance_Log!$C$2:$C$1001,A375,Attendance_Log!$D$2:$D$1001,B375,Attendance_Log!$O$2:$O$1001,"อนุมัติ",Attendance_Log!$K$2:$K$1001,"ผ่าน")</f>
        <v/>
      </c>
      <c r="E375" s="8">
        <f>SUMIFS(Green_Star_Requests!$H$2:$H$501,Green_Star_Requests!$B$2:$B$501,A375,Green_Star_Requests!$C$2:$C$501,B375,Green_Star_Requests!$J$2:$J$501,"อนุมัติ")</f>
        <v/>
      </c>
      <c r="F375" s="8">
        <f>D375+E375</f>
        <v/>
      </c>
      <c r="G375" s="8">
        <f>MAX(0,12-D375)</f>
        <v/>
      </c>
    </row>
    <row r="376">
      <c r="D376" s="8">
        <f>COUNTIFS(Attendance_Log!$C$2:$C$1001,A376,Attendance_Log!$D$2:$D$1001,B376,Attendance_Log!$O$2:$O$1001,"อนุมัติ",Attendance_Log!$K$2:$K$1001,"ผ่าน")</f>
        <v/>
      </c>
      <c r="E376" s="8">
        <f>SUMIFS(Green_Star_Requests!$H$2:$H$501,Green_Star_Requests!$B$2:$B$501,A376,Green_Star_Requests!$C$2:$C$501,B376,Green_Star_Requests!$J$2:$J$501,"อนุมัติ")</f>
        <v/>
      </c>
      <c r="F376" s="8">
        <f>D376+E376</f>
        <v/>
      </c>
      <c r="G376" s="8">
        <f>MAX(0,12-D376)</f>
        <v/>
      </c>
    </row>
    <row r="377">
      <c r="D377" s="8">
        <f>COUNTIFS(Attendance_Log!$C$2:$C$1001,A377,Attendance_Log!$D$2:$D$1001,B377,Attendance_Log!$O$2:$O$1001,"อนุมัติ",Attendance_Log!$K$2:$K$1001,"ผ่าน")</f>
        <v/>
      </c>
      <c r="E377" s="8">
        <f>SUMIFS(Green_Star_Requests!$H$2:$H$501,Green_Star_Requests!$B$2:$B$501,A377,Green_Star_Requests!$C$2:$C$501,B377,Green_Star_Requests!$J$2:$J$501,"อนุมัติ")</f>
        <v/>
      </c>
      <c r="F377" s="8">
        <f>D377+E377</f>
        <v/>
      </c>
      <c r="G377" s="8">
        <f>MAX(0,12-D377)</f>
        <v/>
      </c>
    </row>
    <row r="378">
      <c r="D378" s="8">
        <f>COUNTIFS(Attendance_Log!$C$2:$C$1001,A378,Attendance_Log!$D$2:$D$1001,B378,Attendance_Log!$O$2:$O$1001,"อนุมัติ",Attendance_Log!$K$2:$K$1001,"ผ่าน")</f>
        <v/>
      </c>
      <c r="E378" s="8">
        <f>SUMIFS(Green_Star_Requests!$H$2:$H$501,Green_Star_Requests!$B$2:$B$501,A378,Green_Star_Requests!$C$2:$C$501,B378,Green_Star_Requests!$J$2:$J$501,"อนุมัติ")</f>
        <v/>
      </c>
      <c r="F378" s="8">
        <f>D378+E378</f>
        <v/>
      </c>
      <c r="G378" s="8">
        <f>MAX(0,12-D378)</f>
        <v/>
      </c>
    </row>
    <row r="379">
      <c r="D379" s="8">
        <f>COUNTIFS(Attendance_Log!$C$2:$C$1001,A379,Attendance_Log!$D$2:$D$1001,B379,Attendance_Log!$O$2:$O$1001,"อนุมัติ",Attendance_Log!$K$2:$K$1001,"ผ่าน")</f>
        <v/>
      </c>
      <c r="E379" s="8">
        <f>SUMIFS(Green_Star_Requests!$H$2:$H$501,Green_Star_Requests!$B$2:$B$501,A379,Green_Star_Requests!$C$2:$C$501,B379,Green_Star_Requests!$J$2:$J$501,"อนุมัติ")</f>
        <v/>
      </c>
      <c r="F379" s="8">
        <f>D379+E379</f>
        <v/>
      </c>
      <c r="G379" s="8">
        <f>MAX(0,12-D379)</f>
        <v/>
      </c>
    </row>
    <row r="380">
      <c r="D380" s="8">
        <f>COUNTIFS(Attendance_Log!$C$2:$C$1001,A380,Attendance_Log!$D$2:$D$1001,B380,Attendance_Log!$O$2:$O$1001,"อนุมัติ",Attendance_Log!$K$2:$K$1001,"ผ่าน")</f>
        <v/>
      </c>
      <c r="E380" s="8">
        <f>SUMIFS(Green_Star_Requests!$H$2:$H$501,Green_Star_Requests!$B$2:$B$501,A380,Green_Star_Requests!$C$2:$C$501,B380,Green_Star_Requests!$J$2:$J$501,"อนุมัติ")</f>
        <v/>
      </c>
      <c r="F380" s="8">
        <f>D380+E380</f>
        <v/>
      </c>
      <c r="G380" s="8">
        <f>MAX(0,12-D380)</f>
        <v/>
      </c>
    </row>
    <row r="381">
      <c r="D381" s="8">
        <f>COUNTIFS(Attendance_Log!$C$2:$C$1001,A381,Attendance_Log!$D$2:$D$1001,B381,Attendance_Log!$O$2:$O$1001,"อนุมัติ",Attendance_Log!$K$2:$K$1001,"ผ่าน")</f>
        <v/>
      </c>
      <c r="E381" s="8">
        <f>SUMIFS(Green_Star_Requests!$H$2:$H$501,Green_Star_Requests!$B$2:$B$501,A381,Green_Star_Requests!$C$2:$C$501,B381,Green_Star_Requests!$J$2:$J$501,"อนุมัติ")</f>
        <v/>
      </c>
      <c r="F381" s="8">
        <f>D381+E381</f>
        <v/>
      </c>
      <c r="G381" s="8">
        <f>MAX(0,12-D381)</f>
        <v/>
      </c>
    </row>
    <row r="382">
      <c r="D382" s="8">
        <f>COUNTIFS(Attendance_Log!$C$2:$C$1001,A382,Attendance_Log!$D$2:$D$1001,B382,Attendance_Log!$O$2:$O$1001,"อนุมัติ",Attendance_Log!$K$2:$K$1001,"ผ่าน")</f>
        <v/>
      </c>
      <c r="E382" s="8">
        <f>SUMIFS(Green_Star_Requests!$H$2:$H$501,Green_Star_Requests!$B$2:$B$501,A382,Green_Star_Requests!$C$2:$C$501,B382,Green_Star_Requests!$J$2:$J$501,"อนุมัติ")</f>
        <v/>
      </c>
      <c r="F382" s="8">
        <f>D382+E382</f>
        <v/>
      </c>
      <c r="G382" s="8">
        <f>MAX(0,12-D382)</f>
        <v/>
      </c>
    </row>
    <row r="383">
      <c r="D383" s="8">
        <f>COUNTIFS(Attendance_Log!$C$2:$C$1001,A383,Attendance_Log!$D$2:$D$1001,B383,Attendance_Log!$O$2:$O$1001,"อนุมัติ",Attendance_Log!$K$2:$K$1001,"ผ่าน")</f>
        <v/>
      </c>
      <c r="E383" s="8">
        <f>SUMIFS(Green_Star_Requests!$H$2:$H$501,Green_Star_Requests!$B$2:$B$501,A383,Green_Star_Requests!$C$2:$C$501,B383,Green_Star_Requests!$J$2:$J$501,"อนุมัติ")</f>
        <v/>
      </c>
      <c r="F383" s="8">
        <f>D383+E383</f>
        <v/>
      </c>
      <c r="G383" s="8">
        <f>MAX(0,12-D383)</f>
        <v/>
      </c>
    </row>
    <row r="384">
      <c r="D384" s="8">
        <f>COUNTIFS(Attendance_Log!$C$2:$C$1001,A384,Attendance_Log!$D$2:$D$1001,B384,Attendance_Log!$O$2:$O$1001,"อนุมัติ",Attendance_Log!$K$2:$K$1001,"ผ่าน")</f>
        <v/>
      </c>
      <c r="E384" s="8">
        <f>SUMIFS(Green_Star_Requests!$H$2:$H$501,Green_Star_Requests!$B$2:$B$501,A384,Green_Star_Requests!$C$2:$C$501,B384,Green_Star_Requests!$J$2:$J$501,"อนุมัติ")</f>
        <v/>
      </c>
      <c r="F384" s="8">
        <f>D384+E384</f>
        <v/>
      </c>
      <c r="G384" s="8">
        <f>MAX(0,12-D384)</f>
        <v/>
      </c>
    </row>
    <row r="385">
      <c r="D385" s="8">
        <f>COUNTIFS(Attendance_Log!$C$2:$C$1001,A385,Attendance_Log!$D$2:$D$1001,B385,Attendance_Log!$O$2:$O$1001,"อนุมัติ",Attendance_Log!$K$2:$K$1001,"ผ่าน")</f>
        <v/>
      </c>
      <c r="E385" s="8">
        <f>SUMIFS(Green_Star_Requests!$H$2:$H$501,Green_Star_Requests!$B$2:$B$501,A385,Green_Star_Requests!$C$2:$C$501,B385,Green_Star_Requests!$J$2:$J$501,"อนุมัติ")</f>
        <v/>
      </c>
      <c r="F385" s="8">
        <f>D385+E385</f>
        <v/>
      </c>
      <c r="G385" s="8">
        <f>MAX(0,12-D385)</f>
        <v/>
      </c>
    </row>
    <row r="386">
      <c r="D386" s="8">
        <f>COUNTIFS(Attendance_Log!$C$2:$C$1001,A386,Attendance_Log!$D$2:$D$1001,B386,Attendance_Log!$O$2:$O$1001,"อนุมัติ",Attendance_Log!$K$2:$K$1001,"ผ่าน")</f>
        <v/>
      </c>
      <c r="E386" s="8">
        <f>SUMIFS(Green_Star_Requests!$H$2:$H$501,Green_Star_Requests!$B$2:$B$501,A386,Green_Star_Requests!$C$2:$C$501,B386,Green_Star_Requests!$J$2:$J$501,"อนุมัติ")</f>
        <v/>
      </c>
      <c r="F386" s="8">
        <f>D386+E386</f>
        <v/>
      </c>
      <c r="G386" s="8">
        <f>MAX(0,12-D386)</f>
        <v/>
      </c>
    </row>
    <row r="387">
      <c r="D387" s="8">
        <f>COUNTIFS(Attendance_Log!$C$2:$C$1001,A387,Attendance_Log!$D$2:$D$1001,B387,Attendance_Log!$O$2:$O$1001,"อนุมัติ",Attendance_Log!$K$2:$K$1001,"ผ่าน")</f>
        <v/>
      </c>
      <c r="E387" s="8">
        <f>SUMIFS(Green_Star_Requests!$H$2:$H$501,Green_Star_Requests!$B$2:$B$501,A387,Green_Star_Requests!$C$2:$C$501,B387,Green_Star_Requests!$J$2:$J$501,"อนุมัติ")</f>
        <v/>
      </c>
      <c r="F387" s="8">
        <f>D387+E387</f>
        <v/>
      </c>
      <c r="G387" s="8">
        <f>MAX(0,12-D387)</f>
        <v/>
      </c>
    </row>
    <row r="388">
      <c r="D388" s="8">
        <f>COUNTIFS(Attendance_Log!$C$2:$C$1001,A388,Attendance_Log!$D$2:$D$1001,B388,Attendance_Log!$O$2:$O$1001,"อนุมัติ",Attendance_Log!$K$2:$K$1001,"ผ่าน")</f>
        <v/>
      </c>
      <c r="E388" s="8">
        <f>SUMIFS(Green_Star_Requests!$H$2:$H$501,Green_Star_Requests!$B$2:$B$501,A388,Green_Star_Requests!$C$2:$C$501,B388,Green_Star_Requests!$J$2:$J$501,"อนุมัติ")</f>
        <v/>
      </c>
      <c r="F388" s="8">
        <f>D388+E388</f>
        <v/>
      </c>
      <c r="G388" s="8">
        <f>MAX(0,12-D388)</f>
        <v/>
      </c>
    </row>
    <row r="389">
      <c r="D389" s="8">
        <f>COUNTIFS(Attendance_Log!$C$2:$C$1001,A389,Attendance_Log!$D$2:$D$1001,B389,Attendance_Log!$O$2:$O$1001,"อนุมัติ",Attendance_Log!$K$2:$K$1001,"ผ่าน")</f>
        <v/>
      </c>
      <c r="E389" s="8">
        <f>SUMIFS(Green_Star_Requests!$H$2:$H$501,Green_Star_Requests!$B$2:$B$501,A389,Green_Star_Requests!$C$2:$C$501,B389,Green_Star_Requests!$J$2:$J$501,"อนุมัติ")</f>
        <v/>
      </c>
      <c r="F389" s="8">
        <f>D389+E389</f>
        <v/>
      </c>
      <c r="G389" s="8">
        <f>MAX(0,12-D389)</f>
        <v/>
      </c>
    </row>
    <row r="390">
      <c r="D390" s="8">
        <f>COUNTIFS(Attendance_Log!$C$2:$C$1001,A390,Attendance_Log!$D$2:$D$1001,B390,Attendance_Log!$O$2:$O$1001,"อนุมัติ",Attendance_Log!$K$2:$K$1001,"ผ่าน")</f>
        <v/>
      </c>
      <c r="E390" s="8">
        <f>SUMIFS(Green_Star_Requests!$H$2:$H$501,Green_Star_Requests!$B$2:$B$501,A390,Green_Star_Requests!$C$2:$C$501,B390,Green_Star_Requests!$J$2:$J$501,"อนุมัติ")</f>
        <v/>
      </c>
      <c r="F390" s="8">
        <f>D390+E390</f>
        <v/>
      </c>
      <c r="G390" s="8">
        <f>MAX(0,12-D390)</f>
        <v/>
      </c>
    </row>
    <row r="391">
      <c r="D391" s="8">
        <f>COUNTIFS(Attendance_Log!$C$2:$C$1001,A391,Attendance_Log!$D$2:$D$1001,B391,Attendance_Log!$O$2:$O$1001,"อนุมัติ",Attendance_Log!$K$2:$K$1001,"ผ่าน")</f>
        <v/>
      </c>
      <c r="E391" s="8">
        <f>SUMIFS(Green_Star_Requests!$H$2:$H$501,Green_Star_Requests!$B$2:$B$501,A391,Green_Star_Requests!$C$2:$C$501,B391,Green_Star_Requests!$J$2:$J$501,"อนุมัติ")</f>
        <v/>
      </c>
      <c r="F391" s="8">
        <f>D391+E391</f>
        <v/>
      </c>
      <c r="G391" s="8">
        <f>MAX(0,12-D391)</f>
        <v/>
      </c>
    </row>
    <row r="392">
      <c r="D392" s="8">
        <f>COUNTIFS(Attendance_Log!$C$2:$C$1001,A392,Attendance_Log!$D$2:$D$1001,B392,Attendance_Log!$O$2:$O$1001,"อนุมัติ",Attendance_Log!$K$2:$K$1001,"ผ่าน")</f>
        <v/>
      </c>
      <c r="E392" s="8">
        <f>SUMIFS(Green_Star_Requests!$H$2:$H$501,Green_Star_Requests!$B$2:$B$501,A392,Green_Star_Requests!$C$2:$C$501,B392,Green_Star_Requests!$J$2:$J$501,"อนุมัติ")</f>
        <v/>
      </c>
      <c r="F392" s="8">
        <f>D392+E392</f>
        <v/>
      </c>
      <c r="G392" s="8">
        <f>MAX(0,12-D392)</f>
        <v/>
      </c>
    </row>
    <row r="393">
      <c r="D393" s="8">
        <f>COUNTIFS(Attendance_Log!$C$2:$C$1001,A393,Attendance_Log!$D$2:$D$1001,B393,Attendance_Log!$O$2:$O$1001,"อนุมัติ",Attendance_Log!$K$2:$K$1001,"ผ่าน")</f>
        <v/>
      </c>
      <c r="E393" s="8">
        <f>SUMIFS(Green_Star_Requests!$H$2:$H$501,Green_Star_Requests!$B$2:$B$501,A393,Green_Star_Requests!$C$2:$C$501,B393,Green_Star_Requests!$J$2:$J$501,"อนุมัติ")</f>
        <v/>
      </c>
      <c r="F393" s="8">
        <f>D393+E393</f>
        <v/>
      </c>
      <c r="G393" s="8">
        <f>MAX(0,12-D393)</f>
        <v/>
      </c>
    </row>
    <row r="394">
      <c r="D394" s="8">
        <f>COUNTIFS(Attendance_Log!$C$2:$C$1001,A394,Attendance_Log!$D$2:$D$1001,B394,Attendance_Log!$O$2:$O$1001,"อนุมัติ",Attendance_Log!$K$2:$K$1001,"ผ่าน")</f>
        <v/>
      </c>
      <c r="E394" s="8">
        <f>SUMIFS(Green_Star_Requests!$H$2:$H$501,Green_Star_Requests!$B$2:$B$501,A394,Green_Star_Requests!$C$2:$C$501,B394,Green_Star_Requests!$J$2:$J$501,"อนุมัติ")</f>
        <v/>
      </c>
      <c r="F394" s="8">
        <f>D394+E394</f>
        <v/>
      </c>
      <c r="G394" s="8">
        <f>MAX(0,12-D394)</f>
        <v/>
      </c>
    </row>
    <row r="395">
      <c r="D395" s="8">
        <f>COUNTIFS(Attendance_Log!$C$2:$C$1001,A395,Attendance_Log!$D$2:$D$1001,B395,Attendance_Log!$O$2:$O$1001,"อนุมัติ",Attendance_Log!$K$2:$K$1001,"ผ่าน")</f>
        <v/>
      </c>
      <c r="E395" s="8">
        <f>SUMIFS(Green_Star_Requests!$H$2:$H$501,Green_Star_Requests!$B$2:$B$501,A395,Green_Star_Requests!$C$2:$C$501,B395,Green_Star_Requests!$J$2:$J$501,"อนุมัติ")</f>
        <v/>
      </c>
      <c r="F395" s="8">
        <f>D395+E395</f>
        <v/>
      </c>
      <c r="G395" s="8">
        <f>MAX(0,12-D395)</f>
        <v/>
      </c>
    </row>
    <row r="396">
      <c r="D396" s="8">
        <f>COUNTIFS(Attendance_Log!$C$2:$C$1001,A396,Attendance_Log!$D$2:$D$1001,B396,Attendance_Log!$O$2:$O$1001,"อนุมัติ",Attendance_Log!$K$2:$K$1001,"ผ่าน")</f>
        <v/>
      </c>
      <c r="E396" s="8">
        <f>SUMIFS(Green_Star_Requests!$H$2:$H$501,Green_Star_Requests!$B$2:$B$501,A396,Green_Star_Requests!$C$2:$C$501,B396,Green_Star_Requests!$J$2:$J$501,"อนุมัติ")</f>
        <v/>
      </c>
      <c r="F396" s="8">
        <f>D396+E396</f>
        <v/>
      </c>
      <c r="G396" s="8">
        <f>MAX(0,12-D396)</f>
        <v/>
      </c>
    </row>
    <row r="397">
      <c r="D397" s="8">
        <f>COUNTIFS(Attendance_Log!$C$2:$C$1001,A397,Attendance_Log!$D$2:$D$1001,B397,Attendance_Log!$O$2:$O$1001,"อนุมัติ",Attendance_Log!$K$2:$K$1001,"ผ่าน")</f>
        <v/>
      </c>
      <c r="E397" s="8">
        <f>SUMIFS(Green_Star_Requests!$H$2:$H$501,Green_Star_Requests!$B$2:$B$501,A397,Green_Star_Requests!$C$2:$C$501,B397,Green_Star_Requests!$J$2:$J$501,"อนุมัติ")</f>
        <v/>
      </c>
      <c r="F397" s="8">
        <f>D397+E397</f>
        <v/>
      </c>
      <c r="G397" s="8">
        <f>MAX(0,12-D397)</f>
        <v/>
      </c>
    </row>
    <row r="398">
      <c r="D398" s="8">
        <f>COUNTIFS(Attendance_Log!$C$2:$C$1001,A398,Attendance_Log!$D$2:$D$1001,B398,Attendance_Log!$O$2:$O$1001,"อนุมัติ",Attendance_Log!$K$2:$K$1001,"ผ่าน")</f>
        <v/>
      </c>
      <c r="E398" s="8">
        <f>SUMIFS(Green_Star_Requests!$H$2:$H$501,Green_Star_Requests!$B$2:$B$501,A398,Green_Star_Requests!$C$2:$C$501,B398,Green_Star_Requests!$J$2:$J$501,"อนุมัติ")</f>
        <v/>
      </c>
      <c r="F398" s="8">
        <f>D398+E398</f>
        <v/>
      </c>
      <c r="G398" s="8">
        <f>MAX(0,12-D398)</f>
        <v/>
      </c>
    </row>
    <row r="399">
      <c r="D399" s="8">
        <f>COUNTIFS(Attendance_Log!$C$2:$C$1001,A399,Attendance_Log!$D$2:$D$1001,B399,Attendance_Log!$O$2:$O$1001,"อนุมัติ",Attendance_Log!$K$2:$K$1001,"ผ่าน")</f>
        <v/>
      </c>
      <c r="E399" s="8">
        <f>SUMIFS(Green_Star_Requests!$H$2:$H$501,Green_Star_Requests!$B$2:$B$501,A399,Green_Star_Requests!$C$2:$C$501,B399,Green_Star_Requests!$J$2:$J$501,"อนุมัติ")</f>
        <v/>
      </c>
      <c r="F399" s="8">
        <f>D399+E399</f>
        <v/>
      </c>
      <c r="G399" s="8">
        <f>MAX(0,12-D399)</f>
        <v/>
      </c>
    </row>
    <row r="400">
      <c r="D400" s="8">
        <f>COUNTIFS(Attendance_Log!$C$2:$C$1001,A400,Attendance_Log!$D$2:$D$1001,B400,Attendance_Log!$O$2:$O$1001,"อนุมัติ",Attendance_Log!$K$2:$K$1001,"ผ่าน")</f>
        <v/>
      </c>
      <c r="E400" s="8">
        <f>SUMIFS(Green_Star_Requests!$H$2:$H$501,Green_Star_Requests!$B$2:$B$501,A400,Green_Star_Requests!$C$2:$C$501,B400,Green_Star_Requests!$J$2:$J$501,"อนุมัติ")</f>
        <v/>
      </c>
      <c r="F400" s="8">
        <f>D400+E400</f>
        <v/>
      </c>
      <c r="G400" s="8">
        <f>MAX(0,12-D400)</f>
        <v/>
      </c>
    </row>
    <row r="401">
      <c r="D401" s="8">
        <f>COUNTIFS(Attendance_Log!$C$2:$C$1001,A401,Attendance_Log!$D$2:$D$1001,B401,Attendance_Log!$O$2:$O$1001,"อนุมัติ",Attendance_Log!$K$2:$K$1001,"ผ่าน")</f>
        <v/>
      </c>
      <c r="E401" s="8">
        <f>SUMIFS(Green_Star_Requests!$H$2:$H$501,Green_Star_Requests!$B$2:$B$501,A401,Green_Star_Requests!$C$2:$C$501,B401,Green_Star_Requests!$J$2:$J$501,"อนุมัติ")</f>
        <v/>
      </c>
      <c r="F401" s="8">
        <f>D401+E401</f>
        <v/>
      </c>
      <c r="G401" s="8">
        <f>MAX(0,12-D401)</f>
        <v/>
      </c>
    </row>
    <row r="402">
      <c r="D402" s="8">
        <f>COUNTIFS(Attendance_Log!$C$2:$C$1001,A402,Attendance_Log!$D$2:$D$1001,B402,Attendance_Log!$O$2:$O$1001,"อนุมัติ",Attendance_Log!$K$2:$K$1001,"ผ่าน")</f>
        <v/>
      </c>
      <c r="E402" s="8">
        <f>SUMIFS(Green_Star_Requests!$H$2:$H$501,Green_Star_Requests!$B$2:$B$501,A402,Green_Star_Requests!$C$2:$C$501,B402,Green_Star_Requests!$J$2:$J$501,"อนุมัติ")</f>
        <v/>
      </c>
      <c r="F402" s="8">
        <f>D402+E402</f>
        <v/>
      </c>
      <c r="G402" s="8">
        <f>MAX(0,12-D402)</f>
        <v/>
      </c>
    </row>
    <row r="403">
      <c r="D403" s="8">
        <f>COUNTIFS(Attendance_Log!$C$2:$C$1001,A403,Attendance_Log!$D$2:$D$1001,B403,Attendance_Log!$O$2:$O$1001,"อนุมัติ",Attendance_Log!$K$2:$K$1001,"ผ่าน")</f>
        <v/>
      </c>
      <c r="E403" s="8">
        <f>SUMIFS(Green_Star_Requests!$H$2:$H$501,Green_Star_Requests!$B$2:$B$501,A403,Green_Star_Requests!$C$2:$C$501,B403,Green_Star_Requests!$J$2:$J$501,"อนุมัติ")</f>
        <v/>
      </c>
      <c r="F403" s="8">
        <f>D403+E403</f>
        <v/>
      </c>
      <c r="G403" s="8">
        <f>MAX(0,12-D403)</f>
        <v/>
      </c>
    </row>
    <row r="404">
      <c r="D404" s="8">
        <f>COUNTIFS(Attendance_Log!$C$2:$C$1001,A404,Attendance_Log!$D$2:$D$1001,B404,Attendance_Log!$O$2:$O$1001,"อนุมัติ",Attendance_Log!$K$2:$K$1001,"ผ่าน")</f>
        <v/>
      </c>
      <c r="E404" s="8">
        <f>SUMIFS(Green_Star_Requests!$H$2:$H$501,Green_Star_Requests!$B$2:$B$501,A404,Green_Star_Requests!$C$2:$C$501,B404,Green_Star_Requests!$J$2:$J$501,"อนุมัติ")</f>
        <v/>
      </c>
      <c r="F404" s="8">
        <f>D404+E404</f>
        <v/>
      </c>
      <c r="G404" s="8">
        <f>MAX(0,12-D404)</f>
        <v/>
      </c>
    </row>
    <row r="405">
      <c r="D405" s="8">
        <f>COUNTIFS(Attendance_Log!$C$2:$C$1001,A405,Attendance_Log!$D$2:$D$1001,B405,Attendance_Log!$O$2:$O$1001,"อนุมัติ",Attendance_Log!$K$2:$K$1001,"ผ่าน")</f>
        <v/>
      </c>
      <c r="E405" s="8">
        <f>SUMIFS(Green_Star_Requests!$H$2:$H$501,Green_Star_Requests!$B$2:$B$501,A405,Green_Star_Requests!$C$2:$C$501,B405,Green_Star_Requests!$J$2:$J$501,"อนุมัติ")</f>
        <v/>
      </c>
      <c r="F405" s="8">
        <f>D405+E405</f>
        <v/>
      </c>
      <c r="G405" s="8">
        <f>MAX(0,12-D405)</f>
        <v/>
      </c>
    </row>
    <row r="406">
      <c r="D406" s="8">
        <f>COUNTIFS(Attendance_Log!$C$2:$C$1001,A406,Attendance_Log!$D$2:$D$1001,B406,Attendance_Log!$O$2:$O$1001,"อนุมัติ",Attendance_Log!$K$2:$K$1001,"ผ่าน")</f>
        <v/>
      </c>
      <c r="E406" s="8">
        <f>SUMIFS(Green_Star_Requests!$H$2:$H$501,Green_Star_Requests!$B$2:$B$501,A406,Green_Star_Requests!$C$2:$C$501,B406,Green_Star_Requests!$J$2:$J$501,"อนุมัติ")</f>
        <v/>
      </c>
      <c r="F406" s="8">
        <f>D406+E406</f>
        <v/>
      </c>
      <c r="G406" s="8">
        <f>MAX(0,12-D406)</f>
        <v/>
      </c>
    </row>
    <row r="407">
      <c r="D407" s="8">
        <f>COUNTIFS(Attendance_Log!$C$2:$C$1001,A407,Attendance_Log!$D$2:$D$1001,B407,Attendance_Log!$O$2:$O$1001,"อนุมัติ",Attendance_Log!$K$2:$K$1001,"ผ่าน")</f>
        <v/>
      </c>
      <c r="E407" s="8">
        <f>SUMIFS(Green_Star_Requests!$H$2:$H$501,Green_Star_Requests!$B$2:$B$501,A407,Green_Star_Requests!$C$2:$C$501,B407,Green_Star_Requests!$J$2:$J$501,"อนุมัติ")</f>
        <v/>
      </c>
      <c r="F407" s="8">
        <f>D407+E407</f>
        <v/>
      </c>
      <c r="G407" s="8">
        <f>MAX(0,12-D407)</f>
        <v/>
      </c>
    </row>
    <row r="408">
      <c r="D408" s="8">
        <f>COUNTIFS(Attendance_Log!$C$2:$C$1001,A408,Attendance_Log!$D$2:$D$1001,B408,Attendance_Log!$O$2:$O$1001,"อนุมัติ",Attendance_Log!$K$2:$K$1001,"ผ่าน")</f>
        <v/>
      </c>
      <c r="E408" s="8">
        <f>SUMIFS(Green_Star_Requests!$H$2:$H$501,Green_Star_Requests!$B$2:$B$501,A408,Green_Star_Requests!$C$2:$C$501,B408,Green_Star_Requests!$J$2:$J$501,"อนุมัติ")</f>
        <v/>
      </c>
      <c r="F408" s="8">
        <f>D408+E408</f>
        <v/>
      </c>
      <c r="G408" s="8">
        <f>MAX(0,12-D408)</f>
        <v/>
      </c>
    </row>
    <row r="409">
      <c r="D409" s="8">
        <f>COUNTIFS(Attendance_Log!$C$2:$C$1001,A409,Attendance_Log!$D$2:$D$1001,B409,Attendance_Log!$O$2:$O$1001,"อนุมัติ",Attendance_Log!$K$2:$K$1001,"ผ่าน")</f>
        <v/>
      </c>
      <c r="E409" s="8">
        <f>SUMIFS(Green_Star_Requests!$H$2:$H$501,Green_Star_Requests!$B$2:$B$501,A409,Green_Star_Requests!$C$2:$C$501,B409,Green_Star_Requests!$J$2:$J$501,"อนุมัติ")</f>
        <v/>
      </c>
      <c r="F409" s="8">
        <f>D409+E409</f>
        <v/>
      </c>
      <c r="G409" s="8">
        <f>MAX(0,12-D409)</f>
        <v/>
      </c>
    </row>
    <row r="410">
      <c r="D410" s="8">
        <f>COUNTIFS(Attendance_Log!$C$2:$C$1001,A410,Attendance_Log!$D$2:$D$1001,B410,Attendance_Log!$O$2:$O$1001,"อนุมัติ",Attendance_Log!$K$2:$K$1001,"ผ่าน")</f>
        <v/>
      </c>
      <c r="E410" s="8">
        <f>SUMIFS(Green_Star_Requests!$H$2:$H$501,Green_Star_Requests!$B$2:$B$501,A410,Green_Star_Requests!$C$2:$C$501,B410,Green_Star_Requests!$J$2:$J$501,"อนุมัติ")</f>
        <v/>
      </c>
      <c r="F410" s="8">
        <f>D410+E410</f>
        <v/>
      </c>
      <c r="G410" s="8">
        <f>MAX(0,12-D410)</f>
        <v/>
      </c>
    </row>
    <row r="411">
      <c r="D411" s="8">
        <f>COUNTIFS(Attendance_Log!$C$2:$C$1001,A411,Attendance_Log!$D$2:$D$1001,B411,Attendance_Log!$O$2:$O$1001,"อนุมัติ",Attendance_Log!$K$2:$K$1001,"ผ่าน")</f>
        <v/>
      </c>
      <c r="E411" s="8">
        <f>SUMIFS(Green_Star_Requests!$H$2:$H$501,Green_Star_Requests!$B$2:$B$501,A411,Green_Star_Requests!$C$2:$C$501,B411,Green_Star_Requests!$J$2:$J$501,"อนุมัติ")</f>
        <v/>
      </c>
      <c r="F411" s="8">
        <f>D411+E411</f>
        <v/>
      </c>
      <c r="G411" s="8">
        <f>MAX(0,12-D411)</f>
        <v/>
      </c>
    </row>
    <row r="412">
      <c r="D412" s="8">
        <f>COUNTIFS(Attendance_Log!$C$2:$C$1001,A412,Attendance_Log!$D$2:$D$1001,B412,Attendance_Log!$O$2:$O$1001,"อนุมัติ",Attendance_Log!$K$2:$K$1001,"ผ่าน")</f>
        <v/>
      </c>
      <c r="E412" s="8">
        <f>SUMIFS(Green_Star_Requests!$H$2:$H$501,Green_Star_Requests!$B$2:$B$501,A412,Green_Star_Requests!$C$2:$C$501,B412,Green_Star_Requests!$J$2:$J$501,"อนุมัติ")</f>
        <v/>
      </c>
      <c r="F412" s="8">
        <f>D412+E412</f>
        <v/>
      </c>
      <c r="G412" s="8">
        <f>MAX(0,12-D412)</f>
        <v/>
      </c>
    </row>
    <row r="413">
      <c r="D413" s="8">
        <f>COUNTIFS(Attendance_Log!$C$2:$C$1001,A413,Attendance_Log!$D$2:$D$1001,B413,Attendance_Log!$O$2:$O$1001,"อนุมัติ",Attendance_Log!$K$2:$K$1001,"ผ่าน")</f>
        <v/>
      </c>
      <c r="E413" s="8">
        <f>SUMIFS(Green_Star_Requests!$H$2:$H$501,Green_Star_Requests!$B$2:$B$501,A413,Green_Star_Requests!$C$2:$C$501,B413,Green_Star_Requests!$J$2:$J$501,"อนุมัติ")</f>
        <v/>
      </c>
      <c r="F413" s="8">
        <f>D413+E413</f>
        <v/>
      </c>
      <c r="G413" s="8">
        <f>MAX(0,12-D413)</f>
        <v/>
      </c>
    </row>
    <row r="414">
      <c r="D414" s="8">
        <f>COUNTIFS(Attendance_Log!$C$2:$C$1001,A414,Attendance_Log!$D$2:$D$1001,B414,Attendance_Log!$O$2:$O$1001,"อนุมัติ",Attendance_Log!$K$2:$K$1001,"ผ่าน")</f>
        <v/>
      </c>
      <c r="E414" s="8">
        <f>SUMIFS(Green_Star_Requests!$H$2:$H$501,Green_Star_Requests!$B$2:$B$501,A414,Green_Star_Requests!$C$2:$C$501,B414,Green_Star_Requests!$J$2:$J$501,"อนุมัติ")</f>
        <v/>
      </c>
      <c r="F414" s="8">
        <f>D414+E414</f>
        <v/>
      </c>
      <c r="G414" s="8">
        <f>MAX(0,12-D414)</f>
        <v/>
      </c>
    </row>
    <row r="415">
      <c r="D415" s="8">
        <f>COUNTIFS(Attendance_Log!$C$2:$C$1001,A415,Attendance_Log!$D$2:$D$1001,B415,Attendance_Log!$O$2:$O$1001,"อนุมัติ",Attendance_Log!$K$2:$K$1001,"ผ่าน")</f>
        <v/>
      </c>
      <c r="E415" s="8">
        <f>SUMIFS(Green_Star_Requests!$H$2:$H$501,Green_Star_Requests!$B$2:$B$501,A415,Green_Star_Requests!$C$2:$C$501,B415,Green_Star_Requests!$J$2:$J$501,"อนุมัติ")</f>
        <v/>
      </c>
      <c r="F415" s="8">
        <f>D415+E415</f>
        <v/>
      </c>
      <c r="G415" s="8">
        <f>MAX(0,12-D415)</f>
        <v/>
      </c>
    </row>
    <row r="416">
      <c r="D416" s="8">
        <f>COUNTIFS(Attendance_Log!$C$2:$C$1001,A416,Attendance_Log!$D$2:$D$1001,B416,Attendance_Log!$O$2:$O$1001,"อนุมัติ",Attendance_Log!$K$2:$K$1001,"ผ่าน")</f>
        <v/>
      </c>
      <c r="E416" s="8">
        <f>SUMIFS(Green_Star_Requests!$H$2:$H$501,Green_Star_Requests!$B$2:$B$501,A416,Green_Star_Requests!$C$2:$C$501,B416,Green_Star_Requests!$J$2:$J$501,"อนุมัติ")</f>
        <v/>
      </c>
      <c r="F416" s="8">
        <f>D416+E416</f>
        <v/>
      </c>
      <c r="G416" s="8">
        <f>MAX(0,12-D416)</f>
        <v/>
      </c>
    </row>
    <row r="417">
      <c r="D417" s="8">
        <f>COUNTIFS(Attendance_Log!$C$2:$C$1001,A417,Attendance_Log!$D$2:$D$1001,B417,Attendance_Log!$O$2:$O$1001,"อนุมัติ",Attendance_Log!$K$2:$K$1001,"ผ่าน")</f>
        <v/>
      </c>
      <c r="E417" s="8">
        <f>SUMIFS(Green_Star_Requests!$H$2:$H$501,Green_Star_Requests!$B$2:$B$501,A417,Green_Star_Requests!$C$2:$C$501,B417,Green_Star_Requests!$J$2:$J$501,"อนุมัติ")</f>
        <v/>
      </c>
      <c r="F417" s="8">
        <f>D417+E417</f>
        <v/>
      </c>
      <c r="G417" s="8">
        <f>MAX(0,12-D417)</f>
        <v/>
      </c>
    </row>
    <row r="418">
      <c r="D418" s="8">
        <f>COUNTIFS(Attendance_Log!$C$2:$C$1001,A418,Attendance_Log!$D$2:$D$1001,B418,Attendance_Log!$O$2:$O$1001,"อนุมัติ",Attendance_Log!$K$2:$K$1001,"ผ่าน")</f>
        <v/>
      </c>
      <c r="E418" s="8">
        <f>SUMIFS(Green_Star_Requests!$H$2:$H$501,Green_Star_Requests!$B$2:$B$501,A418,Green_Star_Requests!$C$2:$C$501,B418,Green_Star_Requests!$J$2:$J$501,"อนุมัติ")</f>
        <v/>
      </c>
      <c r="F418" s="8">
        <f>D418+E418</f>
        <v/>
      </c>
      <c r="G418" s="8">
        <f>MAX(0,12-D418)</f>
        <v/>
      </c>
    </row>
    <row r="419">
      <c r="D419" s="8">
        <f>COUNTIFS(Attendance_Log!$C$2:$C$1001,A419,Attendance_Log!$D$2:$D$1001,B419,Attendance_Log!$O$2:$O$1001,"อนุมัติ",Attendance_Log!$K$2:$K$1001,"ผ่าน")</f>
        <v/>
      </c>
      <c r="E419" s="8">
        <f>SUMIFS(Green_Star_Requests!$H$2:$H$501,Green_Star_Requests!$B$2:$B$501,A419,Green_Star_Requests!$C$2:$C$501,B419,Green_Star_Requests!$J$2:$J$501,"อนุมัติ")</f>
        <v/>
      </c>
      <c r="F419" s="8">
        <f>D419+E419</f>
        <v/>
      </c>
      <c r="G419" s="8">
        <f>MAX(0,12-D419)</f>
        <v/>
      </c>
    </row>
    <row r="420">
      <c r="D420" s="8">
        <f>COUNTIFS(Attendance_Log!$C$2:$C$1001,A420,Attendance_Log!$D$2:$D$1001,B420,Attendance_Log!$O$2:$O$1001,"อนุมัติ",Attendance_Log!$K$2:$K$1001,"ผ่าน")</f>
        <v/>
      </c>
      <c r="E420" s="8">
        <f>SUMIFS(Green_Star_Requests!$H$2:$H$501,Green_Star_Requests!$B$2:$B$501,A420,Green_Star_Requests!$C$2:$C$501,B420,Green_Star_Requests!$J$2:$J$501,"อนุมัติ")</f>
        <v/>
      </c>
      <c r="F420" s="8">
        <f>D420+E420</f>
        <v/>
      </c>
      <c r="G420" s="8">
        <f>MAX(0,12-D420)</f>
        <v/>
      </c>
    </row>
    <row r="421">
      <c r="D421" s="8">
        <f>COUNTIFS(Attendance_Log!$C$2:$C$1001,A421,Attendance_Log!$D$2:$D$1001,B421,Attendance_Log!$O$2:$O$1001,"อนุมัติ",Attendance_Log!$K$2:$K$1001,"ผ่าน")</f>
        <v/>
      </c>
      <c r="E421" s="8">
        <f>SUMIFS(Green_Star_Requests!$H$2:$H$501,Green_Star_Requests!$B$2:$B$501,A421,Green_Star_Requests!$C$2:$C$501,B421,Green_Star_Requests!$J$2:$J$501,"อนุมัติ")</f>
        <v/>
      </c>
      <c r="F421" s="8">
        <f>D421+E421</f>
        <v/>
      </c>
      <c r="G421" s="8">
        <f>MAX(0,12-D421)</f>
        <v/>
      </c>
    </row>
    <row r="422">
      <c r="D422" s="8">
        <f>COUNTIFS(Attendance_Log!$C$2:$C$1001,A422,Attendance_Log!$D$2:$D$1001,B422,Attendance_Log!$O$2:$O$1001,"อนุมัติ",Attendance_Log!$K$2:$K$1001,"ผ่าน")</f>
        <v/>
      </c>
      <c r="E422" s="8">
        <f>SUMIFS(Green_Star_Requests!$H$2:$H$501,Green_Star_Requests!$B$2:$B$501,A422,Green_Star_Requests!$C$2:$C$501,B422,Green_Star_Requests!$J$2:$J$501,"อนุมัติ")</f>
        <v/>
      </c>
      <c r="F422" s="8">
        <f>D422+E422</f>
        <v/>
      </c>
      <c r="G422" s="8">
        <f>MAX(0,12-D422)</f>
        <v/>
      </c>
    </row>
    <row r="423">
      <c r="D423" s="8">
        <f>COUNTIFS(Attendance_Log!$C$2:$C$1001,A423,Attendance_Log!$D$2:$D$1001,B423,Attendance_Log!$O$2:$O$1001,"อนุมัติ",Attendance_Log!$K$2:$K$1001,"ผ่าน")</f>
        <v/>
      </c>
      <c r="E423" s="8">
        <f>SUMIFS(Green_Star_Requests!$H$2:$H$501,Green_Star_Requests!$B$2:$B$501,A423,Green_Star_Requests!$C$2:$C$501,B423,Green_Star_Requests!$J$2:$J$501,"อนุมัติ")</f>
        <v/>
      </c>
      <c r="F423" s="8">
        <f>D423+E423</f>
        <v/>
      </c>
      <c r="G423" s="8">
        <f>MAX(0,12-D423)</f>
        <v/>
      </c>
    </row>
    <row r="424">
      <c r="D424" s="8">
        <f>COUNTIFS(Attendance_Log!$C$2:$C$1001,A424,Attendance_Log!$D$2:$D$1001,B424,Attendance_Log!$O$2:$O$1001,"อนุมัติ",Attendance_Log!$K$2:$K$1001,"ผ่าน")</f>
        <v/>
      </c>
      <c r="E424" s="8">
        <f>SUMIFS(Green_Star_Requests!$H$2:$H$501,Green_Star_Requests!$B$2:$B$501,A424,Green_Star_Requests!$C$2:$C$501,B424,Green_Star_Requests!$J$2:$J$501,"อนุมัติ")</f>
        <v/>
      </c>
      <c r="F424" s="8">
        <f>D424+E424</f>
        <v/>
      </c>
      <c r="G424" s="8">
        <f>MAX(0,12-D424)</f>
        <v/>
      </c>
    </row>
    <row r="425">
      <c r="D425" s="8">
        <f>COUNTIFS(Attendance_Log!$C$2:$C$1001,A425,Attendance_Log!$D$2:$D$1001,B425,Attendance_Log!$O$2:$O$1001,"อนุมัติ",Attendance_Log!$K$2:$K$1001,"ผ่าน")</f>
        <v/>
      </c>
      <c r="E425" s="8">
        <f>SUMIFS(Green_Star_Requests!$H$2:$H$501,Green_Star_Requests!$B$2:$B$501,A425,Green_Star_Requests!$C$2:$C$501,B425,Green_Star_Requests!$J$2:$J$501,"อนุมัติ")</f>
        <v/>
      </c>
      <c r="F425" s="8">
        <f>D425+E425</f>
        <v/>
      </c>
      <c r="G425" s="8">
        <f>MAX(0,12-D425)</f>
        <v/>
      </c>
    </row>
    <row r="426">
      <c r="D426" s="8">
        <f>COUNTIFS(Attendance_Log!$C$2:$C$1001,A426,Attendance_Log!$D$2:$D$1001,B426,Attendance_Log!$O$2:$O$1001,"อนุมัติ",Attendance_Log!$K$2:$K$1001,"ผ่าน")</f>
        <v/>
      </c>
      <c r="E426" s="8">
        <f>SUMIFS(Green_Star_Requests!$H$2:$H$501,Green_Star_Requests!$B$2:$B$501,A426,Green_Star_Requests!$C$2:$C$501,B426,Green_Star_Requests!$J$2:$J$501,"อนุมัติ")</f>
        <v/>
      </c>
      <c r="F426" s="8">
        <f>D426+E426</f>
        <v/>
      </c>
      <c r="G426" s="8">
        <f>MAX(0,12-D426)</f>
        <v/>
      </c>
    </row>
    <row r="427">
      <c r="D427" s="8">
        <f>COUNTIFS(Attendance_Log!$C$2:$C$1001,A427,Attendance_Log!$D$2:$D$1001,B427,Attendance_Log!$O$2:$O$1001,"อนุมัติ",Attendance_Log!$K$2:$K$1001,"ผ่าน")</f>
        <v/>
      </c>
      <c r="E427" s="8">
        <f>SUMIFS(Green_Star_Requests!$H$2:$H$501,Green_Star_Requests!$B$2:$B$501,A427,Green_Star_Requests!$C$2:$C$501,B427,Green_Star_Requests!$J$2:$J$501,"อนุมัติ")</f>
        <v/>
      </c>
      <c r="F427" s="8">
        <f>D427+E427</f>
        <v/>
      </c>
      <c r="G427" s="8">
        <f>MAX(0,12-D427)</f>
        <v/>
      </c>
    </row>
    <row r="428">
      <c r="D428" s="8">
        <f>COUNTIFS(Attendance_Log!$C$2:$C$1001,A428,Attendance_Log!$D$2:$D$1001,B428,Attendance_Log!$O$2:$O$1001,"อนุมัติ",Attendance_Log!$K$2:$K$1001,"ผ่าน")</f>
        <v/>
      </c>
      <c r="E428" s="8">
        <f>SUMIFS(Green_Star_Requests!$H$2:$H$501,Green_Star_Requests!$B$2:$B$501,A428,Green_Star_Requests!$C$2:$C$501,B428,Green_Star_Requests!$J$2:$J$501,"อนุมัติ")</f>
        <v/>
      </c>
      <c r="F428" s="8">
        <f>D428+E428</f>
        <v/>
      </c>
      <c r="G428" s="8">
        <f>MAX(0,12-D428)</f>
        <v/>
      </c>
    </row>
    <row r="429">
      <c r="D429" s="8">
        <f>COUNTIFS(Attendance_Log!$C$2:$C$1001,A429,Attendance_Log!$D$2:$D$1001,B429,Attendance_Log!$O$2:$O$1001,"อนุมัติ",Attendance_Log!$K$2:$K$1001,"ผ่าน")</f>
        <v/>
      </c>
      <c r="E429" s="8">
        <f>SUMIFS(Green_Star_Requests!$H$2:$H$501,Green_Star_Requests!$B$2:$B$501,A429,Green_Star_Requests!$C$2:$C$501,B429,Green_Star_Requests!$J$2:$J$501,"อนุมัติ")</f>
        <v/>
      </c>
      <c r="F429" s="8">
        <f>D429+E429</f>
        <v/>
      </c>
      <c r="G429" s="8">
        <f>MAX(0,12-D429)</f>
        <v/>
      </c>
    </row>
    <row r="430">
      <c r="D430" s="8">
        <f>COUNTIFS(Attendance_Log!$C$2:$C$1001,A430,Attendance_Log!$D$2:$D$1001,B430,Attendance_Log!$O$2:$O$1001,"อนุมัติ",Attendance_Log!$K$2:$K$1001,"ผ่าน")</f>
        <v/>
      </c>
      <c r="E430" s="8">
        <f>SUMIFS(Green_Star_Requests!$H$2:$H$501,Green_Star_Requests!$B$2:$B$501,A430,Green_Star_Requests!$C$2:$C$501,B430,Green_Star_Requests!$J$2:$J$501,"อนุมัติ")</f>
        <v/>
      </c>
      <c r="F430" s="8">
        <f>D430+E430</f>
        <v/>
      </c>
      <c r="G430" s="8">
        <f>MAX(0,12-D430)</f>
        <v/>
      </c>
    </row>
    <row r="431">
      <c r="D431" s="8">
        <f>COUNTIFS(Attendance_Log!$C$2:$C$1001,A431,Attendance_Log!$D$2:$D$1001,B431,Attendance_Log!$O$2:$O$1001,"อนุมัติ",Attendance_Log!$K$2:$K$1001,"ผ่าน")</f>
        <v/>
      </c>
      <c r="E431" s="8">
        <f>SUMIFS(Green_Star_Requests!$H$2:$H$501,Green_Star_Requests!$B$2:$B$501,A431,Green_Star_Requests!$C$2:$C$501,B431,Green_Star_Requests!$J$2:$J$501,"อนุมัติ")</f>
        <v/>
      </c>
      <c r="F431" s="8">
        <f>D431+E431</f>
        <v/>
      </c>
      <c r="G431" s="8">
        <f>MAX(0,12-D431)</f>
        <v/>
      </c>
    </row>
    <row r="432">
      <c r="D432" s="8">
        <f>COUNTIFS(Attendance_Log!$C$2:$C$1001,A432,Attendance_Log!$D$2:$D$1001,B432,Attendance_Log!$O$2:$O$1001,"อนุมัติ",Attendance_Log!$K$2:$K$1001,"ผ่าน")</f>
        <v/>
      </c>
      <c r="E432" s="8">
        <f>SUMIFS(Green_Star_Requests!$H$2:$H$501,Green_Star_Requests!$B$2:$B$501,A432,Green_Star_Requests!$C$2:$C$501,B432,Green_Star_Requests!$J$2:$J$501,"อนุมัติ")</f>
        <v/>
      </c>
      <c r="F432" s="8">
        <f>D432+E432</f>
        <v/>
      </c>
      <c r="G432" s="8">
        <f>MAX(0,12-D432)</f>
        <v/>
      </c>
    </row>
    <row r="433">
      <c r="D433" s="8">
        <f>COUNTIFS(Attendance_Log!$C$2:$C$1001,A433,Attendance_Log!$D$2:$D$1001,B433,Attendance_Log!$O$2:$O$1001,"อนุมัติ",Attendance_Log!$K$2:$K$1001,"ผ่าน")</f>
        <v/>
      </c>
      <c r="E433" s="8">
        <f>SUMIFS(Green_Star_Requests!$H$2:$H$501,Green_Star_Requests!$B$2:$B$501,A433,Green_Star_Requests!$C$2:$C$501,B433,Green_Star_Requests!$J$2:$J$501,"อนุมัติ")</f>
        <v/>
      </c>
      <c r="F433" s="8">
        <f>D433+E433</f>
        <v/>
      </c>
      <c r="G433" s="8">
        <f>MAX(0,12-D433)</f>
        <v/>
      </c>
    </row>
    <row r="434">
      <c r="D434" s="8">
        <f>COUNTIFS(Attendance_Log!$C$2:$C$1001,A434,Attendance_Log!$D$2:$D$1001,B434,Attendance_Log!$O$2:$O$1001,"อนุมัติ",Attendance_Log!$K$2:$K$1001,"ผ่าน")</f>
        <v/>
      </c>
      <c r="E434" s="8">
        <f>SUMIFS(Green_Star_Requests!$H$2:$H$501,Green_Star_Requests!$B$2:$B$501,A434,Green_Star_Requests!$C$2:$C$501,B434,Green_Star_Requests!$J$2:$J$501,"อนุมัติ")</f>
        <v/>
      </c>
      <c r="F434" s="8">
        <f>D434+E434</f>
        <v/>
      </c>
      <c r="G434" s="8">
        <f>MAX(0,12-D434)</f>
        <v/>
      </c>
    </row>
    <row r="435">
      <c r="D435" s="8">
        <f>COUNTIFS(Attendance_Log!$C$2:$C$1001,A435,Attendance_Log!$D$2:$D$1001,B435,Attendance_Log!$O$2:$O$1001,"อนุมัติ",Attendance_Log!$K$2:$K$1001,"ผ่าน")</f>
        <v/>
      </c>
      <c r="E435" s="8">
        <f>SUMIFS(Green_Star_Requests!$H$2:$H$501,Green_Star_Requests!$B$2:$B$501,A435,Green_Star_Requests!$C$2:$C$501,B435,Green_Star_Requests!$J$2:$J$501,"อนุมัติ")</f>
        <v/>
      </c>
      <c r="F435" s="8">
        <f>D435+E435</f>
        <v/>
      </c>
      <c r="G435" s="8">
        <f>MAX(0,12-D435)</f>
        <v/>
      </c>
    </row>
    <row r="436">
      <c r="D436" s="8">
        <f>COUNTIFS(Attendance_Log!$C$2:$C$1001,A436,Attendance_Log!$D$2:$D$1001,B436,Attendance_Log!$O$2:$O$1001,"อนุมัติ",Attendance_Log!$K$2:$K$1001,"ผ่าน")</f>
        <v/>
      </c>
      <c r="E436" s="8">
        <f>SUMIFS(Green_Star_Requests!$H$2:$H$501,Green_Star_Requests!$B$2:$B$501,A436,Green_Star_Requests!$C$2:$C$501,B436,Green_Star_Requests!$J$2:$J$501,"อนุมัติ")</f>
        <v/>
      </c>
      <c r="F436" s="8">
        <f>D436+E436</f>
        <v/>
      </c>
      <c r="G436" s="8">
        <f>MAX(0,12-D436)</f>
        <v/>
      </c>
    </row>
    <row r="437">
      <c r="D437" s="8">
        <f>COUNTIFS(Attendance_Log!$C$2:$C$1001,A437,Attendance_Log!$D$2:$D$1001,B437,Attendance_Log!$O$2:$O$1001,"อนุมัติ",Attendance_Log!$K$2:$K$1001,"ผ่าน")</f>
        <v/>
      </c>
      <c r="E437" s="8">
        <f>SUMIFS(Green_Star_Requests!$H$2:$H$501,Green_Star_Requests!$B$2:$B$501,A437,Green_Star_Requests!$C$2:$C$501,B437,Green_Star_Requests!$J$2:$J$501,"อนุมัติ")</f>
        <v/>
      </c>
      <c r="F437" s="8">
        <f>D437+E437</f>
        <v/>
      </c>
      <c r="G437" s="8">
        <f>MAX(0,12-D437)</f>
        <v/>
      </c>
    </row>
    <row r="438">
      <c r="D438" s="8">
        <f>COUNTIFS(Attendance_Log!$C$2:$C$1001,A438,Attendance_Log!$D$2:$D$1001,B438,Attendance_Log!$O$2:$O$1001,"อนุมัติ",Attendance_Log!$K$2:$K$1001,"ผ่าน")</f>
        <v/>
      </c>
      <c r="E438" s="8">
        <f>SUMIFS(Green_Star_Requests!$H$2:$H$501,Green_Star_Requests!$B$2:$B$501,A438,Green_Star_Requests!$C$2:$C$501,B438,Green_Star_Requests!$J$2:$J$501,"อนุมัติ")</f>
        <v/>
      </c>
      <c r="F438" s="8">
        <f>D438+E438</f>
        <v/>
      </c>
      <c r="G438" s="8">
        <f>MAX(0,12-D438)</f>
        <v/>
      </c>
    </row>
    <row r="439">
      <c r="D439" s="8">
        <f>COUNTIFS(Attendance_Log!$C$2:$C$1001,A439,Attendance_Log!$D$2:$D$1001,B439,Attendance_Log!$O$2:$O$1001,"อนุมัติ",Attendance_Log!$K$2:$K$1001,"ผ่าน")</f>
        <v/>
      </c>
      <c r="E439" s="8">
        <f>SUMIFS(Green_Star_Requests!$H$2:$H$501,Green_Star_Requests!$B$2:$B$501,A439,Green_Star_Requests!$C$2:$C$501,B439,Green_Star_Requests!$J$2:$J$501,"อนุมัติ")</f>
        <v/>
      </c>
      <c r="F439" s="8">
        <f>D439+E439</f>
        <v/>
      </c>
      <c r="G439" s="8">
        <f>MAX(0,12-D439)</f>
        <v/>
      </c>
    </row>
    <row r="440">
      <c r="D440" s="8">
        <f>COUNTIFS(Attendance_Log!$C$2:$C$1001,A440,Attendance_Log!$D$2:$D$1001,B440,Attendance_Log!$O$2:$O$1001,"อนุมัติ",Attendance_Log!$K$2:$K$1001,"ผ่าน")</f>
        <v/>
      </c>
      <c r="E440" s="8">
        <f>SUMIFS(Green_Star_Requests!$H$2:$H$501,Green_Star_Requests!$B$2:$B$501,A440,Green_Star_Requests!$C$2:$C$501,B440,Green_Star_Requests!$J$2:$J$501,"อนุมัติ")</f>
        <v/>
      </c>
      <c r="F440" s="8">
        <f>D440+E440</f>
        <v/>
      </c>
      <c r="G440" s="8">
        <f>MAX(0,12-D440)</f>
        <v/>
      </c>
    </row>
    <row r="441">
      <c r="D441" s="8">
        <f>COUNTIFS(Attendance_Log!$C$2:$C$1001,A441,Attendance_Log!$D$2:$D$1001,B441,Attendance_Log!$O$2:$O$1001,"อนุมัติ",Attendance_Log!$K$2:$K$1001,"ผ่าน")</f>
        <v/>
      </c>
      <c r="E441" s="8">
        <f>SUMIFS(Green_Star_Requests!$H$2:$H$501,Green_Star_Requests!$B$2:$B$501,A441,Green_Star_Requests!$C$2:$C$501,B441,Green_Star_Requests!$J$2:$J$501,"อนุมัติ")</f>
        <v/>
      </c>
      <c r="F441" s="8">
        <f>D441+E441</f>
        <v/>
      </c>
      <c r="G441" s="8">
        <f>MAX(0,12-D441)</f>
        <v/>
      </c>
    </row>
    <row r="442">
      <c r="D442" s="8">
        <f>COUNTIFS(Attendance_Log!$C$2:$C$1001,A442,Attendance_Log!$D$2:$D$1001,B442,Attendance_Log!$O$2:$O$1001,"อนุมัติ",Attendance_Log!$K$2:$K$1001,"ผ่าน")</f>
        <v/>
      </c>
      <c r="E442" s="8">
        <f>SUMIFS(Green_Star_Requests!$H$2:$H$501,Green_Star_Requests!$B$2:$B$501,A442,Green_Star_Requests!$C$2:$C$501,B442,Green_Star_Requests!$J$2:$J$501,"อนุมัติ")</f>
        <v/>
      </c>
      <c r="F442" s="8">
        <f>D442+E442</f>
        <v/>
      </c>
      <c r="G442" s="8">
        <f>MAX(0,12-D442)</f>
        <v/>
      </c>
    </row>
    <row r="443">
      <c r="D443" s="8">
        <f>COUNTIFS(Attendance_Log!$C$2:$C$1001,A443,Attendance_Log!$D$2:$D$1001,B443,Attendance_Log!$O$2:$O$1001,"อนุมัติ",Attendance_Log!$K$2:$K$1001,"ผ่าน")</f>
        <v/>
      </c>
      <c r="E443" s="8">
        <f>SUMIFS(Green_Star_Requests!$H$2:$H$501,Green_Star_Requests!$B$2:$B$501,A443,Green_Star_Requests!$C$2:$C$501,B443,Green_Star_Requests!$J$2:$J$501,"อนุมัติ")</f>
        <v/>
      </c>
      <c r="F443" s="8">
        <f>D443+E443</f>
        <v/>
      </c>
      <c r="G443" s="8">
        <f>MAX(0,12-D443)</f>
        <v/>
      </c>
    </row>
    <row r="444">
      <c r="D444" s="8">
        <f>COUNTIFS(Attendance_Log!$C$2:$C$1001,A444,Attendance_Log!$D$2:$D$1001,B444,Attendance_Log!$O$2:$O$1001,"อนุมัติ",Attendance_Log!$K$2:$K$1001,"ผ่าน")</f>
        <v/>
      </c>
      <c r="E444" s="8">
        <f>SUMIFS(Green_Star_Requests!$H$2:$H$501,Green_Star_Requests!$B$2:$B$501,A444,Green_Star_Requests!$C$2:$C$501,B444,Green_Star_Requests!$J$2:$J$501,"อนุมัติ")</f>
        <v/>
      </c>
      <c r="F444" s="8">
        <f>D444+E444</f>
        <v/>
      </c>
      <c r="G444" s="8">
        <f>MAX(0,12-D444)</f>
        <v/>
      </c>
    </row>
    <row r="445">
      <c r="D445" s="8">
        <f>COUNTIFS(Attendance_Log!$C$2:$C$1001,A445,Attendance_Log!$D$2:$D$1001,B445,Attendance_Log!$O$2:$O$1001,"อนุมัติ",Attendance_Log!$K$2:$K$1001,"ผ่าน")</f>
        <v/>
      </c>
      <c r="E445" s="8">
        <f>SUMIFS(Green_Star_Requests!$H$2:$H$501,Green_Star_Requests!$B$2:$B$501,A445,Green_Star_Requests!$C$2:$C$501,B445,Green_Star_Requests!$J$2:$J$501,"อนุมัติ")</f>
        <v/>
      </c>
      <c r="F445" s="8">
        <f>D445+E445</f>
        <v/>
      </c>
      <c r="G445" s="8">
        <f>MAX(0,12-D445)</f>
        <v/>
      </c>
    </row>
    <row r="446">
      <c r="D446" s="8">
        <f>COUNTIFS(Attendance_Log!$C$2:$C$1001,A446,Attendance_Log!$D$2:$D$1001,B446,Attendance_Log!$O$2:$O$1001,"อนุมัติ",Attendance_Log!$K$2:$K$1001,"ผ่าน")</f>
        <v/>
      </c>
      <c r="E446" s="8">
        <f>SUMIFS(Green_Star_Requests!$H$2:$H$501,Green_Star_Requests!$B$2:$B$501,A446,Green_Star_Requests!$C$2:$C$501,B446,Green_Star_Requests!$J$2:$J$501,"อนุมัติ")</f>
        <v/>
      </c>
      <c r="F446" s="8">
        <f>D446+E446</f>
        <v/>
      </c>
      <c r="G446" s="8">
        <f>MAX(0,12-D446)</f>
        <v/>
      </c>
    </row>
    <row r="447">
      <c r="D447" s="8">
        <f>COUNTIFS(Attendance_Log!$C$2:$C$1001,A447,Attendance_Log!$D$2:$D$1001,B447,Attendance_Log!$O$2:$O$1001,"อนุมัติ",Attendance_Log!$K$2:$K$1001,"ผ่าน")</f>
        <v/>
      </c>
      <c r="E447" s="8">
        <f>SUMIFS(Green_Star_Requests!$H$2:$H$501,Green_Star_Requests!$B$2:$B$501,A447,Green_Star_Requests!$C$2:$C$501,B447,Green_Star_Requests!$J$2:$J$501,"อนุมัติ")</f>
        <v/>
      </c>
      <c r="F447" s="8">
        <f>D447+E447</f>
        <v/>
      </c>
      <c r="G447" s="8">
        <f>MAX(0,12-D447)</f>
        <v/>
      </c>
    </row>
    <row r="448">
      <c r="D448" s="8">
        <f>COUNTIFS(Attendance_Log!$C$2:$C$1001,A448,Attendance_Log!$D$2:$D$1001,B448,Attendance_Log!$O$2:$O$1001,"อนุมัติ",Attendance_Log!$K$2:$K$1001,"ผ่าน")</f>
        <v/>
      </c>
      <c r="E448" s="8">
        <f>SUMIFS(Green_Star_Requests!$H$2:$H$501,Green_Star_Requests!$B$2:$B$501,A448,Green_Star_Requests!$C$2:$C$501,B448,Green_Star_Requests!$J$2:$J$501,"อนุมัติ")</f>
        <v/>
      </c>
      <c r="F448" s="8">
        <f>D448+E448</f>
        <v/>
      </c>
      <c r="G448" s="8">
        <f>MAX(0,12-D448)</f>
        <v/>
      </c>
    </row>
    <row r="449">
      <c r="D449" s="8">
        <f>COUNTIFS(Attendance_Log!$C$2:$C$1001,A449,Attendance_Log!$D$2:$D$1001,B449,Attendance_Log!$O$2:$O$1001,"อนุมัติ",Attendance_Log!$K$2:$K$1001,"ผ่าน")</f>
        <v/>
      </c>
      <c r="E449" s="8">
        <f>SUMIFS(Green_Star_Requests!$H$2:$H$501,Green_Star_Requests!$B$2:$B$501,A449,Green_Star_Requests!$C$2:$C$501,B449,Green_Star_Requests!$J$2:$J$501,"อนุมัติ")</f>
        <v/>
      </c>
      <c r="F449" s="8">
        <f>D449+E449</f>
        <v/>
      </c>
      <c r="G449" s="8">
        <f>MAX(0,12-D449)</f>
        <v/>
      </c>
    </row>
    <row r="450">
      <c r="D450" s="8">
        <f>COUNTIFS(Attendance_Log!$C$2:$C$1001,A450,Attendance_Log!$D$2:$D$1001,B450,Attendance_Log!$O$2:$O$1001,"อนุมัติ",Attendance_Log!$K$2:$K$1001,"ผ่าน")</f>
        <v/>
      </c>
      <c r="E450" s="8">
        <f>SUMIFS(Green_Star_Requests!$H$2:$H$501,Green_Star_Requests!$B$2:$B$501,A450,Green_Star_Requests!$C$2:$C$501,B450,Green_Star_Requests!$J$2:$J$501,"อนุมัติ")</f>
        <v/>
      </c>
      <c r="F450" s="8">
        <f>D450+E450</f>
        <v/>
      </c>
      <c r="G450" s="8">
        <f>MAX(0,12-D450)</f>
        <v/>
      </c>
    </row>
    <row r="451">
      <c r="D451" s="8">
        <f>COUNTIFS(Attendance_Log!$C$2:$C$1001,A451,Attendance_Log!$D$2:$D$1001,B451,Attendance_Log!$O$2:$O$1001,"อนุมัติ",Attendance_Log!$K$2:$K$1001,"ผ่าน")</f>
        <v/>
      </c>
      <c r="E451" s="8">
        <f>SUMIFS(Green_Star_Requests!$H$2:$H$501,Green_Star_Requests!$B$2:$B$501,A451,Green_Star_Requests!$C$2:$C$501,B451,Green_Star_Requests!$J$2:$J$501,"อนุมัติ")</f>
        <v/>
      </c>
      <c r="F451" s="8">
        <f>D451+E451</f>
        <v/>
      </c>
      <c r="G451" s="8">
        <f>MAX(0,12-D451)</f>
        <v/>
      </c>
    </row>
    <row r="452">
      <c r="D452" s="8">
        <f>COUNTIFS(Attendance_Log!$C$2:$C$1001,A452,Attendance_Log!$D$2:$D$1001,B452,Attendance_Log!$O$2:$O$1001,"อนุมัติ",Attendance_Log!$K$2:$K$1001,"ผ่าน")</f>
        <v/>
      </c>
      <c r="E452" s="8">
        <f>SUMIFS(Green_Star_Requests!$H$2:$H$501,Green_Star_Requests!$B$2:$B$501,A452,Green_Star_Requests!$C$2:$C$501,B452,Green_Star_Requests!$J$2:$J$501,"อนุมัติ")</f>
        <v/>
      </c>
      <c r="F452" s="8">
        <f>D452+E452</f>
        <v/>
      </c>
      <c r="G452" s="8">
        <f>MAX(0,12-D452)</f>
        <v/>
      </c>
    </row>
    <row r="453">
      <c r="D453" s="8">
        <f>COUNTIFS(Attendance_Log!$C$2:$C$1001,A453,Attendance_Log!$D$2:$D$1001,B453,Attendance_Log!$O$2:$O$1001,"อนุมัติ",Attendance_Log!$K$2:$K$1001,"ผ่าน")</f>
        <v/>
      </c>
      <c r="E453" s="8">
        <f>SUMIFS(Green_Star_Requests!$H$2:$H$501,Green_Star_Requests!$B$2:$B$501,A453,Green_Star_Requests!$C$2:$C$501,B453,Green_Star_Requests!$J$2:$J$501,"อนุมัติ")</f>
        <v/>
      </c>
      <c r="F453" s="8">
        <f>D453+E453</f>
        <v/>
      </c>
      <c r="G453" s="8">
        <f>MAX(0,12-D453)</f>
        <v/>
      </c>
    </row>
    <row r="454">
      <c r="D454" s="8">
        <f>COUNTIFS(Attendance_Log!$C$2:$C$1001,A454,Attendance_Log!$D$2:$D$1001,B454,Attendance_Log!$O$2:$O$1001,"อนุมัติ",Attendance_Log!$K$2:$K$1001,"ผ่าน")</f>
        <v/>
      </c>
      <c r="E454" s="8">
        <f>SUMIFS(Green_Star_Requests!$H$2:$H$501,Green_Star_Requests!$B$2:$B$501,A454,Green_Star_Requests!$C$2:$C$501,B454,Green_Star_Requests!$J$2:$J$501,"อนุมัติ")</f>
        <v/>
      </c>
      <c r="F454" s="8">
        <f>D454+E454</f>
        <v/>
      </c>
      <c r="G454" s="8">
        <f>MAX(0,12-D454)</f>
        <v/>
      </c>
    </row>
    <row r="455">
      <c r="D455" s="8">
        <f>COUNTIFS(Attendance_Log!$C$2:$C$1001,A455,Attendance_Log!$D$2:$D$1001,B455,Attendance_Log!$O$2:$O$1001,"อนุมัติ",Attendance_Log!$K$2:$K$1001,"ผ่าน")</f>
        <v/>
      </c>
      <c r="E455" s="8">
        <f>SUMIFS(Green_Star_Requests!$H$2:$H$501,Green_Star_Requests!$B$2:$B$501,A455,Green_Star_Requests!$C$2:$C$501,B455,Green_Star_Requests!$J$2:$J$501,"อนุมัติ")</f>
        <v/>
      </c>
      <c r="F455" s="8">
        <f>D455+E455</f>
        <v/>
      </c>
      <c r="G455" s="8">
        <f>MAX(0,12-D455)</f>
        <v/>
      </c>
    </row>
    <row r="456">
      <c r="D456" s="8">
        <f>COUNTIFS(Attendance_Log!$C$2:$C$1001,A456,Attendance_Log!$D$2:$D$1001,B456,Attendance_Log!$O$2:$O$1001,"อนุมัติ",Attendance_Log!$K$2:$K$1001,"ผ่าน")</f>
        <v/>
      </c>
      <c r="E456" s="8">
        <f>SUMIFS(Green_Star_Requests!$H$2:$H$501,Green_Star_Requests!$B$2:$B$501,A456,Green_Star_Requests!$C$2:$C$501,B456,Green_Star_Requests!$J$2:$J$501,"อนุมัติ")</f>
        <v/>
      </c>
      <c r="F456" s="8">
        <f>D456+E456</f>
        <v/>
      </c>
      <c r="G456" s="8">
        <f>MAX(0,12-D456)</f>
        <v/>
      </c>
    </row>
    <row r="457">
      <c r="D457" s="8">
        <f>COUNTIFS(Attendance_Log!$C$2:$C$1001,A457,Attendance_Log!$D$2:$D$1001,B457,Attendance_Log!$O$2:$O$1001,"อนุมัติ",Attendance_Log!$K$2:$K$1001,"ผ่าน")</f>
        <v/>
      </c>
      <c r="E457" s="8">
        <f>SUMIFS(Green_Star_Requests!$H$2:$H$501,Green_Star_Requests!$B$2:$B$501,A457,Green_Star_Requests!$C$2:$C$501,B457,Green_Star_Requests!$J$2:$J$501,"อนุมัติ")</f>
        <v/>
      </c>
      <c r="F457" s="8">
        <f>D457+E457</f>
        <v/>
      </c>
      <c r="G457" s="8">
        <f>MAX(0,12-D457)</f>
        <v/>
      </c>
    </row>
    <row r="458">
      <c r="D458" s="8">
        <f>COUNTIFS(Attendance_Log!$C$2:$C$1001,A458,Attendance_Log!$D$2:$D$1001,B458,Attendance_Log!$O$2:$O$1001,"อนุมัติ",Attendance_Log!$K$2:$K$1001,"ผ่าน")</f>
        <v/>
      </c>
      <c r="E458" s="8">
        <f>SUMIFS(Green_Star_Requests!$H$2:$H$501,Green_Star_Requests!$B$2:$B$501,A458,Green_Star_Requests!$C$2:$C$501,B458,Green_Star_Requests!$J$2:$J$501,"อนุมัติ")</f>
        <v/>
      </c>
      <c r="F458" s="8">
        <f>D458+E458</f>
        <v/>
      </c>
      <c r="G458" s="8">
        <f>MAX(0,12-D458)</f>
        <v/>
      </c>
    </row>
    <row r="459">
      <c r="D459" s="8">
        <f>COUNTIFS(Attendance_Log!$C$2:$C$1001,A459,Attendance_Log!$D$2:$D$1001,B459,Attendance_Log!$O$2:$O$1001,"อนุมัติ",Attendance_Log!$K$2:$K$1001,"ผ่าน")</f>
        <v/>
      </c>
      <c r="E459" s="8">
        <f>SUMIFS(Green_Star_Requests!$H$2:$H$501,Green_Star_Requests!$B$2:$B$501,A459,Green_Star_Requests!$C$2:$C$501,B459,Green_Star_Requests!$J$2:$J$501,"อนุมัติ")</f>
        <v/>
      </c>
      <c r="F459" s="8">
        <f>D459+E459</f>
        <v/>
      </c>
      <c r="G459" s="8">
        <f>MAX(0,12-D459)</f>
        <v/>
      </c>
    </row>
    <row r="460">
      <c r="D460" s="8">
        <f>COUNTIFS(Attendance_Log!$C$2:$C$1001,A460,Attendance_Log!$D$2:$D$1001,B460,Attendance_Log!$O$2:$O$1001,"อนุมัติ",Attendance_Log!$K$2:$K$1001,"ผ่าน")</f>
        <v/>
      </c>
      <c r="E460" s="8">
        <f>SUMIFS(Green_Star_Requests!$H$2:$H$501,Green_Star_Requests!$B$2:$B$501,A460,Green_Star_Requests!$C$2:$C$501,B460,Green_Star_Requests!$J$2:$J$501,"อนุมัติ")</f>
        <v/>
      </c>
      <c r="F460" s="8">
        <f>D460+E460</f>
        <v/>
      </c>
      <c r="G460" s="8">
        <f>MAX(0,12-D460)</f>
        <v/>
      </c>
    </row>
    <row r="461">
      <c r="D461" s="8">
        <f>COUNTIFS(Attendance_Log!$C$2:$C$1001,A461,Attendance_Log!$D$2:$D$1001,B461,Attendance_Log!$O$2:$O$1001,"อนุมัติ",Attendance_Log!$K$2:$K$1001,"ผ่าน")</f>
        <v/>
      </c>
      <c r="E461" s="8">
        <f>SUMIFS(Green_Star_Requests!$H$2:$H$501,Green_Star_Requests!$B$2:$B$501,A461,Green_Star_Requests!$C$2:$C$501,B461,Green_Star_Requests!$J$2:$J$501,"อนุมัติ")</f>
        <v/>
      </c>
      <c r="F461" s="8">
        <f>D461+E461</f>
        <v/>
      </c>
      <c r="G461" s="8">
        <f>MAX(0,12-D461)</f>
        <v/>
      </c>
    </row>
    <row r="462">
      <c r="D462" s="8">
        <f>COUNTIFS(Attendance_Log!$C$2:$C$1001,A462,Attendance_Log!$D$2:$D$1001,B462,Attendance_Log!$O$2:$O$1001,"อนุมัติ",Attendance_Log!$K$2:$K$1001,"ผ่าน")</f>
        <v/>
      </c>
      <c r="E462" s="8">
        <f>SUMIFS(Green_Star_Requests!$H$2:$H$501,Green_Star_Requests!$B$2:$B$501,A462,Green_Star_Requests!$C$2:$C$501,B462,Green_Star_Requests!$J$2:$J$501,"อนุมัติ")</f>
        <v/>
      </c>
      <c r="F462" s="8">
        <f>D462+E462</f>
        <v/>
      </c>
      <c r="G462" s="8">
        <f>MAX(0,12-D462)</f>
        <v/>
      </c>
    </row>
    <row r="463">
      <c r="D463" s="8">
        <f>COUNTIFS(Attendance_Log!$C$2:$C$1001,A463,Attendance_Log!$D$2:$D$1001,B463,Attendance_Log!$O$2:$O$1001,"อนุมัติ",Attendance_Log!$K$2:$K$1001,"ผ่าน")</f>
        <v/>
      </c>
      <c r="E463" s="8">
        <f>SUMIFS(Green_Star_Requests!$H$2:$H$501,Green_Star_Requests!$B$2:$B$501,A463,Green_Star_Requests!$C$2:$C$501,B463,Green_Star_Requests!$J$2:$J$501,"อนุมัติ")</f>
        <v/>
      </c>
      <c r="F463" s="8">
        <f>D463+E463</f>
        <v/>
      </c>
      <c r="G463" s="8">
        <f>MAX(0,12-D463)</f>
        <v/>
      </c>
    </row>
    <row r="464">
      <c r="D464" s="8">
        <f>COUNTIFS(Attendance_Log!$C$2:$C$1001,A464,Attendance_Log!$D$2:$D$1001,B464,Attendance_Log!$O$2:$O$1001,"อนุมัติ",Attendance_Log!$K$2:$K$1001,"ผ่าน")</f>
        <v/>
      </c>
      <c r="E464" s="8">
        <f>SUMIFS(Green_Star_Requests!$H$2:$H$501,Green_Star_Requests!$B$2:$B$501,A464,Green_Star_Requests!$C$2:$C$501,B464,Green_Star_Requests!$J$2:$J$501,"อนุมัติ")</f>
        <v/>
      </c>
      <c r="F464" s="8">
        <f>D464+E464</f>
        <v/>
      </c>
      <c r="G464" s="8">
        <f>MAX(0,12-D464)</f>
        <v/>
      </c>
    </row>
    <row r="465">
      <c r="D465" s="8">
        <f>COUNTIFS(Attendance_Log!$C$2:$C$1001,A465,Attendance_Log!$D$2:$D$1001,B465,Attendance_Log!$O$2:$O$1001,"อนุมัติ",Attendance_Log!$K$2:$K$1001,"ผ่าน")</f>
        <v/>
      </c>
      <c r="E465" s="8">
        <f>SUMIFS(Green_Star_Requests!$H$2:$H$501,Green_Star_Requests!$B$2:$B$501,A465,Green_Star_Requests!$C$2:$C$501,B465,Green_Star_Requests!$J$2:$J$501,"อนุมัติ")</f>
        <v/>
      </c>
      <c r="F465" s="8">
        <f>D465+E465</f>
        <v/>
      </c>
      <c r="G465" s="8">
        <f>MAX(0,12-D465)</f>
        <v/>
      </c>
    </row>
    <row r="466">
      <c r="D466" s="8">
        <f>COUNTIFS(Attendance_Log!$C$2:$C$1001,A466,Attendance_Log!$D$2:$D$1001,B466,Attendance_Log!$O$2:$O$1001,"อนุมัติ",Attendance_Log!$K$2:$K$1001,"ผ่าน")</f>
        <v/>
      </c>
      <c r="E466" s="8">
        <f>SUMIFS(Green_Star_Requests!$H$2:$H$501,Green_Star_Requests!$B$2:$B$501,A466,Green_Star_Requests!$C$2:$C$501,B466,Green_Star_Requests!$J$2:$J$501,"อนุมัติ")</f>
        <v/>
      </c>
      <c r="F466" s="8">
        <f>D466+E466</f>
        <v/>
      </c>
      <c r="G466" s="8">
        <f>MAX(0,12-D466)</f>
        <v/>
      </c>
    </row>
    <row r="467">
      <c r="D467" s="8">
        <f>COUNTIFS(Attendance_Log!$C$2:$C$1001,A467,Attendance_Log!$D$2:$D$1001,B467,Attendance_Log!$O$2:$O$1001,"อนุมัติ",Attendance_Log!$K$2:$K$1001,"ผ่าน")</f>
        <v/>
      </c>
      <c r="E467" s="8">
        <f>SUMIFS(Green_Star_Requests!$H$2:$H$501,Green_Star_Requests!$B$2:$B$501,A467,Green_Star_Requests!$C$2:$C$501,B467,Green_Star_Requests!$J$2:$J$501,"อนุมัติ")</f>
        <v/>
      </c>
      <c r="F467" s="8">
        <f>D467+E467</f>
        <v/>
      </c>
      <c r="G467" s="8">
        <f>MAX(0,12-D467)</f>
        <v/>
      </c>
    </row>
    <row r="468">
      <c r="D468" s="8">
        <f>COUNTIFS(Attendance_Log!$C$2:$C$1001,A468,Attendance_Log!$D$2:$D$1001,B468,Attendance_Log!$O$2:$O$1001,"อนุมัติ",Attendance_Log!$K$2:$K$1001,"ผ่าน")</f>
        <v/>
      </c>
      <c r="E468" s="8">
        <f>SUMIFS(Green_Star_Requests!$H$2:$H$501,Green_Star_Requests!$B$2:$B$501,A468,Green_Star_Requests!$C$2:$C$501,B468,Green_Star_Requests!$J$2:$J$501,"อนุมัติ")</f>
        <v/>
      </c>
      <c r="F468" s="8">
        <f>D468+E468</f>
        <v/>
      </c>
      <c r="G468" s="8">
        <f>MAX(0,12-D468)</f>
        <v/>
      </c>
    </row>
    <row r="469">
      <c r="D469" s="8">
        <f>COUNTIFS(Attendance_Log!$C$2:$C$1001,A469,Attendance_Log!$D$2:$D$1001,B469,Attendance_Log!$O$2:$O$1001,"อนุมัติ",Attendance_Log!$K$2:$K$1001,"ผ่าน")</f>
        <v/>
      </c>
      <c r="E469" s="8">
        <f>SUMIFS(Green_Star_Requests!$H$2:$H$501,Green_Star_Requests!$B$2:$B$501,A469,Green_Star_Requests!$C$2:$C$501,B469,Green_Star_Requests!$J$2:$J$501,"อนุมัติ")</f>
        <v/>
      </c>
      <c r="F469" s="8">
        <f>D469+E469</f>
        <v/>
      </c>
      <c r="G469" s="8">
        <f>MAX(0,12-D469)</f>
        <v/>
      </c>
    </row>
    <row r="470">
      <c r="D470" s="8">
        <f>COUNTIFS(Attendance_Log!$C$2:$C$1001,A470,Attendance_Log!$D$2:$D$1001,B470,Attendance_Log!$O$2:$O$1001,"อนุมัติ",Attendance_Log!$K$2:$K$1001,"ผ่าน")</f>
        <v/>
      </c>
      <c r="E470" s="8">
        <f>SUMIFS(Green_Star_Requests!$H$2:$H$501,Green_Star_Requests!$B$2:$B$501,A470,Green_Star_Requests!$C$2:$C$501,B470,Green_Star_Requests!$J$2:$J$501,"อนุมัติ")</f>
        <v/>
      </c>
      <c r="F470" s="8">
        <f>D470+E470</f>
        <v/>
      </c>
      <c r="G470" s="8">
        <f>MAX(0,12-D470)</f>
        <v/>
      </c>
    </row>
    <row r="471">
      <c r="D471" s="8">
        <f>COUNTIFS(Attendance_Log!$C$2:$C$1001,A471,Attendance_Log!$D$2:$D$1001,B471,Attendance_Log!$O$2:$O$1001,"อนุมัติ",Attendance_Log!$K$2:$K$1001,"ผ่าน")</f>
        <v/>
      </c>
      <c r="E471" s="8">
        <f>SUMIFS(Green_Star_Requests!$H$2:$H$501,Green_Star_Requests!$B$2:$B$501,A471,Green_Star_Requests!$C$2:$C$501,B471,Green_Star_Requests!$J$2:$J$501,"อนุมัติ")</f>
        <v/>
      </c>
      <c r="F471" s="8">
        <f>D471+E471</f>
        <v/>
      </c>
      <c r="G471" s="8">
        <f>MAX(0,12-D471)</f>
        <v/>
      </c>
    </row>
    <row r="472">
      <c r="D472" s="8">
        <f>COUNTIFS(Attendance_Log!$C$2:$C$1001,A472,Attendance_Log!$D$2:$D$1001,B472,Attendance_Log!$O$2:$O$1001,"อนุมัติ",Attendance_Log!$K$2:$K$1001,"ผ่าน")</f>
        <v/>
      </c>
      <c r="E472" s="8">
        <f>SUMIFS(Green_Star_Requests!$H$2:$H$501,Green_Star_Requests!$B$2:$B$501,A472,Green_Star_Requests!$C$2:$C$501,B472,Green_Star_Requests!$J$2:$J$501,"อนุมัติ")</f>
        <v/>
      </c>
      <c r="F472" s="8">
        <f>D472+E472</f>
        <v/>
      </c>
      <c r="G472" s="8">
        <f>MAX(0,12-D472)</f>
        <v/>
      </c>
    </row>
    <row r="473">
      <c r="D473" s="8">
        <f>COUNTIFS(Attendance_Log!$C$2:$C$1001,A473,Attendance_Log!$D$2:$D$1001,B473,Attendance_Log!$O$2:$O$1001,"อนุมัติ",Attendance_Log!$K$2:$K$1001,"ผ่าน")</f>
        <v/>
      </c>
      <c r="E473" s="8">
        <f>SUMIFS(Green_Star_Requests!$H$2:$H$501,Green_Star_Requests!$B$2:$B$501,A473,Green_Star_Requests!$C$2:$C$501,B473,Green_Star_Requests!$J$2:$J$501,"อนุมัติ")</f>
        <v/>
      </c>
      <c r="F473" s="8">
        <f>D473+E473</f>
        <v/>
      </c>
      <c r="G473" s="8">
        <f>MAX(0,12-D473)</f>
        <v/>
      </c>
    </row>
    <row r="474">
      <c r="D474" s="8">
        <f>COUNTIFS(Attendance_Log!$C$2:$C$1001,A474,Attendance_Log!$D$2:$D$1001,B474,Attendance_Log!$O$2:$O$1001,"อนุมัติ",Attendance_Log!$K$2:$K$1001,"ผ่าน")</f>
        <v/>
      </c>
      <c r="E474" s="8">
        <f>SUMIFS(Green_Star_Requests!$H$2:$H$501,Green_Star_Requests!$B$2:$B$501,A474,Green_Star_Requests!$C$2:$C$501,B474,Green_Star_Requests!$J$2:$J$501,"อนุมัติ")</f>
        <v/>
      </c>
      <c r="F474" s="8">
        <f>D474+E474</f>
        <v/>
      </c>
      <c r="G474" s="8">
        <f>MAX(0,12-D474)</f>
        <v/>
      </c>
    </row>
    <row r="475">
      <c r="D475" s="8">
        <f>COUNTIFS(Attendance_Log!$C$2:$C$1001,A475,Attendance_Log!$D$2:$D$1001,B475,Attendance_Log!$O$2:$O$1001,"อนุมัติ",Attendance_Log!$K$2:$K$1001,"ผ่าน")</f>
        <v/>
      </c>
      <c r="E475" s="8">
        <f>SUMIFS(Green_Star_Requests!$H$2:$H$501,Green_Star_Requests!$B$2:$B$501,A475,Green_Star_Requests!$C$2:$C$501,B475,Green_Star_Requests!$J$2:$J$501,"อนุมัติ")</f>
        <v/>
      </c>
      <c r="F475" s="8">
        <f>D475+E475</f>
        <v/>
      </c>
      <c r="G475" s="8">
        <f>MAX(0,12-D475)</f>
        <v/>
      </c>
    </row>
    <row r="476">
      <c r="D476" s="8">
        <f>COUNTIFS(Attendance_Log!$C$2:$C$1001,A476,Attendance_Log!$D$2:$D$1001,B476,Attendance_Log!$O$2:$O$1001,"อนุมัติ",Attendance_Log!$K$2:$K$1001,"ผ่าน")</f>
        <v/>
      </c>
      <c r="E476" s="8">
        <f>SUMIFS(Green_Star_Requests!$H$2:$H$501,Green_Star_Requests!$B$2:$B$501,A476,Green_Star_Requests!$C$2:$C$501,B476,Green_Star_Requests!$J$2:$J$501,"อนุมัติ")</f>
        <v/>
      </c>
      <c r="F476" s="8">
        <f>D476+E476</f>
        <v/>
      </c>
      <c r="G476" s="8">
        <f>MAX(0,12-D476)</f>
        <v/>
      </c>
    </row>
    <row r="477">
      <c r="D477" s="8">
        <f>COUNTIFS(Attendance_Log!$C$2:$C$1001,A477,Attendance_Log!$D$2:$D$1001,B477,Attendance_Log!$O$2:$O$1001,"อนุมัติ",Attendance_Log!$K$2:$K$1001,"ผ่าน")</f>
        <v/>
      </c>
      <c r="E477" s="8">
        <f>SUMIFS(Green_Star_Requests!$H$2:$H$501,Green_Star_Requests!$B$2:$B$501,A477,Green_Star_Requests!$C$2:$C$501,B477,Green_Star_Requests!$J$2:$J$501,"อนุมัติ")</f>
        <v/>
      </c>
      <c r="F477" s="8">
        <f>D477+E477</f>
        <v/>
      </c>
      <c r="G477" s="8">
        <f>MAX(0,12-D477)</f>
        <v/>
      </c>
    </row>
    <row r="478">
      <c r="D478" s="8">
        <f>COUNTIFS(Attendance_Log!$C$2:$C$1001,A478,Attendance_Log!$D$2:$D$1001,B478,Attendance_Log!$O$2:$O$1001,"อนุมัติ",Attendance_Log!$K$2:$K$1001,"ผ่าน")</f>
        <v/>
      </c>
      <c r="E478" s="8">
        <f>SUMIFS(Green_Star_Requests!$H$2:$H$501,Green_Star_Requests!$B$2:$B$501,A478,Green_Star_Requests!$C$2:$C$501,B478,Green_Star_Requests!$J$2:$J$501,"อนุมัติ")</f>
        <v/>
      </c>
      <c r="F478" s="8">
        <f>D478+E478</f>
        <v/>
      </c>
      <c r="G478" s="8">
        <f>MAX(0,12-D478)</f>
        <v/>
      </c>
    </row>
    <row r="479">
      <c r="D479" s="8">
        <f>COUNTIFS(Attendance_Log!$C$2:$C$1001,A479,Attendance_Log!$D$2:$D$1001,B479,Attendance_Log!$O$2:$O$1001,"อนุมัติ",Attendance_Log!$K$2:$K$1001,"ผ่าน")</f>
        <v/>
      </c>
      <c r="E479" s="8">
        <f>SUMIFS(Green_Star_Requests!$H$2:$H$501,Green_Star_Requests!$B$2:$B$501,A479,Green_Star_Requests!$C$2:$C$501,B479,Green_Star_Requests!$J$2:$J$501,"อนุมัติ")</f>
        <v/>
      </c>
      <c r="F479" s="8">
        <f>D479+E479</f>
        <v/>
      </c>
      <c r="G479" s="8">
        <f>MAX(0,12-D479)</f>
        <v/>
      </c>
    </row>
    <row r="480">
      <c r="D480" s="8">
        <f>COUNTIFS(Attendance_Log!$C$2:$C$1001,A480,Attendance_Log!$D$2:$D$1001,B480,Attendance_Log!$O$2:$O$1001,"อนุมัติ",Attendance_Log!$K$2:$K$1001,"ผ่าน")</f>
        <v/>
      </c>
      <c r="E480" s="8">
        <f>SUMIFS(Green_Star_Requests!$H$2:$H$501,Green_Star_Requests!$B$2:$B$501,A480,Green_Star_Requests!$C$2:$C$501,B480,Green_Star_Requests!$J$2:$J$501,"อนุมัติ")</f>
        <v/>
      </c>
      <c r="F480" s="8">
        <f>D480+E480</f>
        <v/>
      </c>
      <c r="G480" s="8">
        <f>MAX(0,12-D480)</f>
        <v/>
      </c>
    </row>
    <row r="481">
      <c r="D481" s="8">
        <f>COUNTIFS(Attendance_Log!$C$2:$C$1001,A481,Attendance_Log!$D$2:$D$1001,B481,Attendance_Log!$O$2:$O$1001,"อนุมัติ",Attendance_Log!$K$2:$K$1001,"ผ่าน")</f>
        <v/>
      </c>
      <c r="E481" s="8">
        <f>SUMIFS(Green_Star_Requests!$H$2:$H$501,Green_Star_Requests!$B$2:$B$501,A481,Green_Star_Requests!$C$2:$C$501,B481,Green_Star_Requests!$J$2:$J$501,"อนุมัติ")</f>
        <v/>
      </c>
      <c r="F481" s="8">
        <f>D481+E481</f>
        <v/>
      </c>
      <c r="G481" s="8">
        <f>MAX(0,12-D481)</f>
        <v/>
      </c>
    </row>
    <row r="482">
      <c r="D482" s="8">
        <f>COUNTIFS(Attendance_Log!$C$2:$C$1001,A482,Attendance_Log!$D$2:$D$1001,B482,Attendance_Log!$O$2:$O$1001,"อนุมัติ",Attendance_Log!$K$2:$K$1001,"ผ่าน")</f>
        <v/>
      </c>
      <c r="E482" s="8">
        <f>SUMIFS(Green_Star_Requests!$H$2:$H$501,Green_Star_Requests!$B$2:$B$501,A482,Green_Star_Requests!$C$2:$C$501,B482,Green_Star_Requests!$J$2:$J$501,"อนุมัติ")</f>
        <v/>
      </c>
      <c r="F482" s="8">
        <f>D482+E482</f>
        <v/>
      </c>
      <c r="G482" s="8">
        <f>MAX(0,12-D482)</f>
        <v/>
      </c>
    </row>
    <row r="483">
      <c r="D483" s="8">
        <f>COUNTIFS(Attendance_Log!$C$2:$C$1001,A483,Attendance_Log!$D$2:$D$1001,B483,Attendance_Log!$O$2:$O$1001,"อนุมัติ",Attendance_Log!$K$2:$K$1001,"ผ่าน")</f>
        <v/>
      </c>
      <c r="E483" s="8">
        <f>SUMIFS(Green_Star_Requests!$H$2:$H$501,Green_Star_Requests!$B$2:$B$501,A483,Green_Star_Requests!$C$2:$C$501,B483,Green_Star_Requests!$J$2:$J$501,"อนุมัติ")</f>
        <v/>
      </c>
      <c r="F483" s="8">
        <f>D483+E483</f>
        <v/>
      </c>
      <c r="G483" s="8">
        <f>MAX(0,12-D483)</f>
        <v/>
      </c>
    </row>
    <row r="484">
      <c r="D484" s="8">
        <f>COUNTIFS(Attendance_Log!$C$2:$C$1001,A484,Attendance_Log!$D$2:$D$1001,B484,Attendance_Log!$O$2:$O$1001,"อนุมัติ",Attendance_Log!$K$2:$K$1001,"ผ่าน")</f>
        <v/>
      </c>
      <c r="E484" s="8">
        <f>SUMIFS(Green_Star_Requests!$H$2:$H$501,Green_Star_Requests!$B$2:$B$501,A484,Green_Star_Requests!$C$2:$C$501,B484,Green_Star_Requests!$J$2:$J$501,"อนุมัติ")</f>
        <v/>
      </c>
      <c r="F484" s="8">
        <f>D484+E484</f>
        <v/>
      </c>
      <c r="G484" s="8">
        <f>MAX(0,12-D484)</f>
        <v/>
      </c>
    </row>
    <row r="485">
      <c r="D485" s="8">
        <f>COUNTIFS(Attendance_Log!$C$2:$C$1001,A485,Attendance_Log!$D$2:$D$1001,B485,Attendance_Log!$O$2:$O$1001,"อนุมัติ",Attendance_Log!$K$2:$K$1001,"ผ่าน")</f>
        <v/>
      </c>
      <c r="E485" s="8">
        <f>SUMIFS(Green_Star_Requests!$H$2:$H$501,Green_Star_Requests!$B$2:$B$501,A485,Green_Star_Requests!$C$2:$C$501,B485,Green_Star_Requests!$J$2:$J$501,"อนุมัติ")</f>
        <v/>
      </c>
      <c r="F485" s="8">
        <f>D485+E485</f>
        <v/>
      </c>
      <c r="G485" s="8">
        <f>MAX(0,12-D485)</f>
        <v/>
      </c>
    </row>
    <row r="486">
      <c r="D486" s="8">
        <f>COUNTIFS(Attendance_Log!$C$2:$C$1001,A486,Attendance_Log!$D$2:$D$1001,B486,Attendance_Log!$O$2:$O$1001,"อนุมัติ",Attendance_Log!$K$2:$K$1001,"ผ่าน")</f>
        <v/>
      </c>
      <c r="E486" s="8">
        <f>SUMIFS(Green_Star_Requests!$H$2:$H$501,Green_Star_Requests!$B$2:$B$501,A486,Green_Star_Requests!$C$2:$C$501,B486,Green_Star_Requests!$J$2:$J$501,"อนุมัติ")</f>
        <v/>
      </c>
      <c r="F486" s="8">
        <f>D486+E486</f>
        <v/>
      </c>
      <c r="G486" s="8">
        <f>MAX(0,12-D486)</f>
        <v/>
      </c>
    </row>
    <row r="487">
      <c r="D487" s="8">
        <f>COUNTIFS(Attendance_Log!$C$2:$C$1001,A487,Attendance_Log!$D$2:$D$1001,B487,Attendance_Log!$O$2:$O$1001,"อนุมัติ",Attendance_Log!$K$2:$K$1001,"ผ่าน")</f>
        <v/>
      </c>
      <c r="E487" s="8">
        <f>SUMIFS(Green_Star_Requests!$H$2:$H$501,Green_Star_Requests!$B$2:$B$501,A487,Green_Star_Requests!$C$2:$C$501,B487,Green_Star_Requests!$J$2:$J$501,"อนุมัติ")</f>
        <v/>
      </c>
      <c r="F487" s="8">
        <f>D487+E487</f>
        <v/>
      </c>
      <c r="G487" s="8">
        <f>MAX(0,12-D487)</f>
        <v/>
      </c>
    </row>
    <row r="488">
      <c r="D488" s="8">
        <f>COUNTIFS(Attendance_Log!$C$2:$C$1001,A488,Attendance_Log!$D$2:$D$1001,B488,Attendance_Log!$O$2:$O$1001,"อนุมัติ",Attendance_Log!$K$2:$K$1001,"ผ่าน")</f>
        <v/>
      </c>
      <c r="E488" s="8">
        <f>SUMIFS(Green_Star_Requests!$H$2:$H$501,Green_Star_Requests!$B$2:$B$501,A488,Green_Star_Requests!$C$2:$C$501,B488,Green_Star_Requests!$J$2:$J$501,"อนุมัติ")</f>
        <v/>
      </c>
      <c r="F488" s="8">
        <f>D488+E488</f>
        <v/>
      </c>
      <c r="G488" s="8">
        <f>MAX(0,12-D488)</f>
        <v/>
      </c>
    </row>
    <row r="489">
      <c r="D489" s="8">
        <f>COUNTIFS(Attendance_Log!$C$2:$C$1001,A489,Attendance_Log!$D$2:$D$1001,B489,Attendance_Log!$O$2:$O$1001,"อนุมัติ",Attendance_Log!$K$2:$K$1001,"ผ่าน")</f>
        <v/>
      </c>
      <c r="E489" s="8">
        <f>SUMIFS(Green_Star_Requests!$H$2:$H$501,Green_Star_Requests!$B$2:$B$501,A489,Green_Star_Requests!$C$2:$C$501,B489,Green_Star_Requests!$J$2:$J$501,"อนุมัติ")</f>
        <v/>
      </c>
      <c r="F489" s="8">
        <f>D489+E489</f>
        <v/>
      </c>
      <c r="G489" s="8">
        <f>MAX(0,12-D489)</f>
        <v/>
      </c>
    </row>
    <row r="490">
      <c r="D490" s="8">
        <f>COUNTIFS(Attendance_Log!$C$2:$C$1001,A490,Attendance_Log!$D$2:$D$1001,B490,Attendance_Log!$O$2:$O$1001,"อนุมัติ",Attendance_Log!$K$2:$K$1001,"ผ่าน")</f>
        <v/>
      </c>
      <c r="E490" s="8">
        <f>SUMIFS(Green_Star_Requests!$H$2:$H$501,Green_Star_Requests!$B$2:$B$501,A490,Green_Star_Requests!$C$2:$C$501,B490,Green_Star_Requests!$J$2:$J$501,"อนุมัติ")</f>
        <v/>
      </c>
      <c r="F490" s="8">
        <f>D490+E490</f>
        <v/>
      </c>
      <c r="G490" s="8">
        <f>MAX(0,12-D490)</f>
        <v/>
      </c>
    </row>
    <row r="491">
      <c r="D491" s="8">
        <f>COUNTIFS(Attendance_Log!$C$2:$C$1001,A491,Attendance_Log!$D$2:$D$1001,B491,Attendance_Log!$O$2:$O$1001,"อนุมัติ",Attendance_Log!$K$2:$K$1001,"ผ่าน")</f>
        <v/>
      </c>
      <c r="E491" s="8">
        <f>SUMIFS(Green_Star_Requests!$H$2:$H$501,Green_Star_Requests!$B$2:$B$501,A491,Green_Star_Requests!$C$2:$C$501,B491,Green_Star_Requests!$J$2:$J$501,"อนุมัติ")</f>
        <v/>
      </c>
      <c r="F491" s="8">
        <f>D491+E491</f>
        <v/>
      </c>
      <c r="G491" s="8">
        <f>MAX(0,12-D491)</f>
        <v/>
      </c>
    </row>
    <row r="492">
      <c r="D492" s="8">
        <f>COUNTIFS(Attendance_Log!$C$2:$C$1001,A492,Attendance_Log!$D$2:$D$1001,B492,Attendance_Log!$O$2:$O$1001,"อนุมัติ",Attendance_Log!$K$2:$K$1001,"ผ่าน")</f>
        <v/>
      </c>
      <c r="E492" s="8">
        <f>SUMIFS(Green_Star_Requests!$H$2:$H$501,Green_Star_Requests!$B$2:$B$501,A492,Green_Star_Requests!$C$2:$C$501,B492,Green_Star_Requests!$J$2:$J$501,"อนุมัติ")</f>
        <v/>
      </c>
      <c r="F492" s="8">
        <f>D492+E492</f>
        <v/>
      </c>
      <c r="G492" s="8">
        <f>MAX(0,12-D492)</f>
        <v/>
      </c>
    </row>
    <row r="493">
      <c r="D493" s="8">
        <f>COUNTIFS(Attendance_Log!$C$2:$C$1001,A493,Attendance_Log!$D$2:$D$1001,B493,Attendance_Log!$O$2:$O$1001,"อนุมัติ",Attendance_Log!$K$2:$K$1001,"ผ่าน")</f>
        <v/>
      </c>
      <c r="E493" s="8">
        <f>SUMIFS(Green_Star_Requests!$H$2:$H$501,Green_Star_Requests!$B$2:$B$501,A493,Green_Star_Requests!$C$2:$C$501,B493,Green_Star_Requests!$J$2:$J$501,"อนุมัติ")</f>
        <v/>
      </c>
      <c r="F493" s="8">
        <f>D493+E493</f>
        <v/>
      </c>
      <c r="G493" s="8">
        <f>MAX(0,12-D493)</f>
        <v/>
      </c>
    </row>
    <row r="494">
      <c r="D494" s="8">
        <f>COUNTIFS(Attendance_Log!$C$2:$C$1001,A494,Attendance_Log!$D$2:$D$1001,B494,Attendance_Log!$O$2:$O$1001,"อนุมัติ",Attendance_Log!$K$2:$K$1001,"ผ่าน")</f>
        <v/>
      </c>
      <c r="E494" s="8">
        <f>SUMIFS(Green_Star_Requests!$H$2:$H$501,Green_Star_Requests!$B$2:$B$501,A494,Green_Star_Requests!$C$2:$C$501,B494,Green_Star_Requests!$J$2:$J$501,"อนุมัติ")</f>
        <v/>
      </c>
      <c r="F494" s="8">
        <f>D494+E494</f>
        <v/>
      </c>
      <c r="G494" s="8">
        <f>MAX(0,12-D494)</f>
        <v/>
      </c>
    </row>
    <row r="495">
      <c r="D495" s="8">
        <f>COUNTIFS(Attendance_Log!$C$2:$C$1001,A495,Attendance_Log!$D$2:$D$1001,B495,Attendance_Log!$O$2:$O$1001,"อนุมัติ",Attendance_Log!$K$2:$K$1001,"ผ่าน")</f>
        <v/>
      </c>
      <c r="E495" s="8">
        <f>SUMIFS(Green_Star_Requests!$H$2:$H$501,Green_Star_Requests!$B$2:$B$501,A495,Green_Star_Requests!$C$2:$C$501,B495,Green_Star_Requests!$J$2:$J$501,"อนุมัติ")</f>
        <v/>
      </c>
      <c r="F495" s="8">
        <f>D495+E495</f>
        <v/>
      </c>
      <c r="G495" s="8">
        <f>MAX(0,12-D495)</f>
        <v/>
      </c>
    </row>
    <row r="496">
      <c r="D496" s="8">
        <f>COUNTIFS(Attendance_Log!$C$2:$C$1001,A496,Attendance_Log!$D$2:$D$1001,B496,Attendance_Log!$O$2:$O$1001,"อนุมัติ",Attendance_Log!$K$2:$K$1001,"ผ่าน")</f>
        <v/>
      </c>
      <c r="E496" s="8">
        <f>SUMIFS(Green_Star_Requests!$H$2:$H$501,Green_Star_Requests!$B$2:$B$501,A496,Green_Star_Requests!$C$2:$C$501,B496,Green_Star_Requests!$J$2:$J$501,"อนุมัติ")</f>
        <v/>
      </c>
      <c r="F496" s="8">
        <f>D496+E496</f>
        <v/>
      </c>
      <c r="G496" s="8">
        <f>MAX(0,12-D496)</f>
        <v/>
      </c>
    </row>
    <row r="497">
      <c r="D497" s="8">
        <f>COUNTIFS(Attendance_Log!$C$2:$C$1001,A497,Attendance_Log!$D$2:$D$1001,B497,Attendance_Log!$O$2:$O$1001,"อนุมัติ",Attendance_Log!$K$2:$K$1001,"ผ่าน")</f>
        <v/>
      </c>
      <c r="E497" s="8">
        <f>SUMIFS(Green_Star_Requests!$H$2:$H$501,Green_Star_Requests!$B$2:$B$501,A497,Green_Star_Requests!$C$2:$C$501,B497,Green_Star_Requests!$J$2:$J$501,"อนุมัติ")</f>
        <v/>
      </c>
      <c r="F497" s="8">
        <f>D497+E497</f>
        <v/>
      </c>
      <c r="G497" s="8">
        <f>MAX(0,12-D497)</f>
        <v/>
      </c>
    </row>
    <row r="498">
      <c r="D498" s="8">
        <f>COUNTIFS(Attendance_Log!$C$2:$C$1001,A498,Attendance_Log!$D$2:$D$1001,B498,Attendance_Log!$O$2:$O$1001,"อนุมัติ",Attendance_Log!$K$2:$K$1001,"ผ่าน")</f>
        <v/>
      </c>
      <c r="E498" s="8">
        <f>SUMIFS(Green_Star_Requests!$H$2:$H$501,Green_Star_Requests!$B$2:$B$501,A498,Green_Star_Requests!$C$2:$C$501,B498,Green_Star_Requests!$J$2:$J$501,"อนุมัติ")</f>
        <v/>
      </c>
      <c r="F498" s="8">
        <f>D498+E498</f>
        <v/>
      </c>
      <c r="G498" s="8">
        <f>MAX(0,12-D498)</f>
        <v/>
      </c>
    </row>
    <row r="499">
      <c r="D499" s="8">
        <f>COUNTIFS(Attendance_Log!$C$2:$C$1001,A499,Attendance_Log!$D$2:$D$1001,B499,Attendance_Log!$O$2:$O$1001,"อนุมัติ",Attendance_Log!$K$2:$K$1001,"ผ่าน")</f>
        <v/>
      </c>
      <c r="E499" s="8">
        <f>SUMIFS(Green_Star_Requests!$H$2:$H$501,Green_Star_Requests!$B$2:$B$501,A499,Green_Star_Requests!$C$2:$C$501,B499,Green_Star_Requests!$J$2:$J$501,"อนุมัติ")</f>
        <v/>
      </c>
      <c r="F499" s="8">
        <f>D499+E499</f>
        <v/>
      </c>
      <c r="G499" s="8">
        <f>MAX(0,12-D499)</f>
        <v/>
      </c>
    </row>
    <row r="500">
      <c r="D500" s="8">
        <f>COUNTIFS(Attendance_Log!$C$2:$C$1001,A500,Attendance_Log!$D$2:$D$1001,B500,Attendance_Log!$O$2:$O$1001,"อนุมัติ",Attendance_Log!$K$2:$K$1001,"ผ่าน")</f>
        <v/>
      </c>
      <c r="E500" s="8">
        <f>SUMIFS(Green_Star_Requests!$H$2:$H$501,Green_Star_Requests!$B$2:$B$501,A500,Green_Star_Requests!$C$2:$C$501,B500,Green_Star_Requests!$J$2:$J$501,"อนุมัติ")</f>
        <v/>
      </c>
      <c r="F500" s="8">
        <f>D500+E500</f>
        <v/>
      </c>
      <c r="G500" s="8">
        <f>MAX(0,12-D500)</f>
        <v/>
      </c>
    </row>
    <row r="501">
      <c r="D501" s="8">
        <f>COUNTIFS(Attendance_Log!$C$2:$C$1001,A501,Attendance_Log!$D$2:$D$1001,B501,Attendance_Log!$O$2:$O$1001,"อนุมัติ",Attendance_Log!$K$2:$K$1001,"ผ่าน")</f>
        <v/>
      </c>
      <c r="E501" s="8">
        <f>SUMIFS(Green_Star_Requests!$H$2:$H$501,Green_Star_Requests!$B$2:$B$501,A501,Green_Star_Requests!$C$2:$C$501,B501,Green_Star_Requests!$J$2:$J$501,"อนุมัติ")</f>
        <v/>
      </c>
      <c r="F501" s="8">
        <f>D501+E501</f>
        <v/>
      </c>
      <c r="G501" s="8">
        <f>MAX(0,12-D501)</f>
        <v/>
      </c>
    </row>
    <row r="503">
      <c r="A503" s="9" t="inlineStr">
        <is>
          <t>*Summary นี้นับเฉพาะข้อมูลในไฟล์สำรอง ไม่ใช่ยอดรวมที่ยืนยันจากระบบหลัก</t>
        </is>
      </c>
    </row>
  </sheetData>
  <autoFilter ref="A1:H503"/>
  <mergeCells count="1">
    <mergeCell ref="A503:H503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2026-10-13T08:18:41Z</dcterms:created>
  <dcterms:modified xmlns:dcterms="http://purl.org/dc/terms/" xmlns:xsi="http://www.w3.org/2001/XMLSchema-instance" xsi:type="dcterms:W3CDTF">2026-10-13T08:20:48Z</dcterms:modified>
</cp:coreProperties>
</file>